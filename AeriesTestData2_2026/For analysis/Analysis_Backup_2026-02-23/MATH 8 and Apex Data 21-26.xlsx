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-22" sheetId="1" r:id="rId5"/>
    <sheet state="visible" name="22-23" sheetId="2" r:id="rId6"/>
    <sheet state="visible" name="23-24" sheetId="3" r:id="rId7"/>
    <sheet state="visible" name="24-25 " sheetId="4" r:id="rId8"/>
    <sheet state="visible" name="25-26 " sheetId="5" r:id="rId9"/>
    <sheet state="visible" name="Master Data" sheetId="6" r:id="rId10"/>
  </sheets>
  <definedNames/>
  <calcPr/>
</workbook>
</file>

<file path=xl/sharedStrings.xml><?xml version="1.0" encoding="utf-8"?>
<sst xmlns="http://schemas.openxmlformats.org/spreadsheetml/2006/main" count="1914" uniqueCount="667">
  <si>
    <t>State Student ID</t>
  </si>
  <si>
    <t>Last Name</t>
  </si>
  <si>
    <t>First Name</t>
  </si>
  <si>
    <t>Grade</t>
  </si>
  <si>
    <t>Sex</t>
  </si>
  <si>
    <t>Description_STU_ETH</t>
  </si>
  <si>
    <t>Description_STU_RC1</t>
  </si>
  <si>
    <t>Section#</t>
  </si>
  <si>
    <t>Course ID</t>
  </si>
  <si>
    <t>Academic year</t>
  </si>
  <si>
    <t>3212997197</t>
  </si>
  <si>
    <t>Albers</t>
  </si>
  <si>
    <t>Adam</t>
  </si>
  <si>
    <t>M</t>
  </si>
  <si>
    <t>No, not Hispanic or Latino</t>
  </si>
  <si>
    <t>White</t>
  </si>
  <si>
    <t>000329</t>
  </si>
  <si>
    <t>21-22</t>
  </si>
  <si>
    <t>9945837606</t>
  </si>
  <si>
    <t>Anglade</t>
  </si>
  <si>
    <t>Bertrand</t>
  </si>
  <si>
    <t>Black or African American</t>
  </si>
  <si>
    <t>6534145506</t>
  </si>
  <si>
    <t>Bacusmo-Rohmer</t>
  </si>
  <si>
    <t>Ani</t>
  </si>
  <si>
    <t>F</t>
  </si>
  <si>
    <t>8190762456</t>
  </si>
  <si>
    <t>Dev</t>
  </si>
  <si>
    <t>Arya</t>
  </si>
  <si>
    <t>Asian Indian</t>
  </si>
  <si>
    <t>9429061937</t>
  </si>
  <si>
    <t>Jha</t>
  </si>
  <si>
    <t>Anubhav</t>
  </si>
  <si>
    <t>3310621121</t>
  </si>
  <si>
    <t>Kosiek</t>
  </si>
  <si>
    <t>Tanner</t>
  </si>
  <si>
    <t>5413364346</t>
  </si>
  <si>
    <t>Lauster</t>
  </si>
  <si>
    <t>Abigail</t>
  </si>
  <si>
    <t>1720010518</t>
  </si>
  <si>
    <t>Lee</t>
  </si>
  <si>
    <t>Allegra</t>
  </si>
  <si>
    <t>Korean</t>
  </si>
  <si>
    <t>5171923326</t>
  </si>
  <si>
    <t>Liu</t>
  </si>
  <si>
    <t>Yuxuan</t>
  </si>
  <si>
    <t>Chinese</t>
  </si>
  <si>
    <t>6442190954</t>
  </si>
  <si>
    <t>Muppidi</t>
  </si>
  <si>
    <t>Revanth</t>
  </si>
  <si>
    <t>7029988727</t>
  </si>
  <si>
    <t>Puente</t>
  </si>
  <si>
    <t>Daniel</t>
  </si>
  <si>
    <t>Yes, Hispanic or Latino</t>
  </si>
  <si>
    <t>3038009850</t>
  </si>
  <si>
    <t>Williams</t>
  </si>
  <si>
    <t>Connor</t>
  </si>
  <si>
    <t>academic year</t>
  </si>
  <si>
    <t>4976887454</t>
  </si>
  <si>
    <t>Alarcon</t>
  </si>
  <si>
    <t>Tyler</t>
  </si>
  <si>
    <t>000325</t>
  </si>
  <si>
    <t>22-23</t>
  </si>
  <si>
    <t>4680924726</t>
  </si>
  <si>
    <t>Almallah</t>
  </si>
  <si>
    <t>Zyad</t>
  </si>
  <si>
    <t>8714704781</t>
  </si>
  <si>
    <t>Arebalo</t>
  </si>
  <si>
    <t>Lauren</t>
  </si>
  <si>
    <t>2679815812</t>
  </si>
  <si>
    <t>Attri</t>
  </si>
  <si>
    <t>Jayshan</t>
  </si>
  <si>
    <t>4187077288</t>
  </si>
  <si>
    <t>Brown</t>
  </si>
  <si>
    <t>Ryan</t>
  </si>
  <si>
    <t>4390212071</t>
  </si>
  <si>
    <t>Burgon</t>
  </si>
  <si>
    <t>Jane</t>
  </si>
  <si>
    <t>7513702492</t>
  </si>
  <si>
    <t>Campo</t>
  </si>
  <si>
    <t>Lucia</t>
  </si>
  <si>
    <t>7420262084</t>
  </si>
  <si>
    <t>Canellos</t>
  </si>
  <si>
    <t>Dregen</t>
  </si>
  <si>
    <t>5026302371</t>
  </si>
  <si>
    <t>Carroll</t>
  </si>
  <si>
    <t>Sonia</t>
  </si>
  <si>
    <t>7546451130</t>
  </si>
  <si>
    <t>Case</t>
  </si>
  <si>
    <t>1155716774</t>
  </si>
  <si>
    <t>Chance</t>
  </si>
  <si>
    <t>Hiro</t>
  </si>
  <si>
    <t>Japanese</t>
  </si>
  <si>
    <t>1629553476</t>
  </si>
  <si>
    <t>Chaudhuri</t>
  </si>
  <si>
    <t>Rayna</t>
  </si>
  <si>
    <t>6311816831</t>
  </si>
  <si>
    <t>Cox</t>
  </si>
  <si>
    <t>Noah</t>
  </si>
  <si>
    <t>7646139988</t>
  </si>
  <si>
    <t>Denmark</t>
  </si>
  <si>
    <t>Emma</t>
  </si>
  <si>
    <t>8451629460</t>
  </si>
  <si>
    <t>Dusinski</t>
  </si>
  <si>
    <t>Ian</t>
  </si>
  <si>
    <t>7095756003</t>
  </si>
  <si>
    <t>Evens</t>
  </si>
  <si>
    <t>Nathaniel</t>
  </si>
  <si>
    <t>1008364173</t>
  </si>
  <si>
    <t>Fuette</t>
  </si>
  <si>
    <t>Isla</t>
  </si>
  <si>
    <t>Filipino</t>
  </si>
  <si>
    <t>5518141154</t>
  </si>
  <si>
    <t>Gan</t>
  </si>
  <si>
    <t>Tina</t>
  </si>
  <si>
    <t>7076633951</t>
  </si>
  <si>
    <t>Ganorkar</t>
  </si>
  <si>
    <t>Madhukar</t>
  </si>
  <si>
    <t>9607691913</t>
  </si>
  <si>
    <t>Gazanchiyants</t>
  </si>
  <si>
    <t>Lukyan</t>
  </si>
  <si>
    <t>7947451743</t>
  </si>
  <si>
    <t>Gray</t>
  </si>
  <si>
    <t>Lincoln</t>
  </si>
  <si>
    <t>6651159524</t>
  </si>
  <si>
    <t>Grinchenko</t>
  </si>
  <si>
    <t>Vadim</t>
  </si>
  <si>
    <t>5998181872</t>
  </si>
  <si>
    <t>Hadden</t>
  </si>
  <si>
    <t>Emilio</t>
  </si>
  <si>
    <t>7510316602</t>
  </si>
  <si>
    <t>Hamelin</t>
  </si>
  <si>
    <t>Mei</t>
  </si>
  <si>
    <t>8622758744</t>
  </si>
  <si>
    <t>Henry</t>
  </si>
  <si>
    <t>Ayla</t>
  </si>
  <si>
    <t>2284886968</t>
  </si>
  <si>
    <t>Iyer</t>
  </si>
  <si>
    <t>Bodhi</t>
  </si>
  <si>
    <t>7187902255</t>
  </si>
  <si>
    <t>Kemp</t>
  </si>
  <si>
    <t>Midori</t>
  </si>
  <si>
    <t>4592007854</t>
  </si>
  <si>
    <t>Kurlan</t>
  </si>
  <si>
    <t>Sophie</t>
  </si>
  <si>
    <t>8253743747</t>
  </si>
  <si>
    <t>Lendler</t>
  </si>
  <si>
    <t>Dylan</t>
  </si>
  <si>
    <t>9420870150</t>
  </si>
  <si>
    <t>Levy</t>
  </si>
  <si>
    <t>Gabrian</t>
  </si>
  <si>
    <t>5924738867</t>
  </si>
  <si>
    <t>Lewis</t>
  </si>
  <si>
    <t>5609329503</t>
  </si>
  <si>
    <t>Narissa</t>
  </si>
  <si>
    <t>2369426477</t>
  </si>
  <si>
    <t>Marin</t>
  </si>
  <si>
    <t>Ava</t>
  </si>
  <si>
    <t>1567569205</t>
  </si>
  <si>
    <t>Mastalerz</t>
  </si>
  <si>
    <t>Rowan</t>
  </si>
  <si>
    <t>7068776286</t>
  </si>
  <si>
    <t>Matthies</t>
  </si>
  <si>
    <t>Lilian</t>
  </si>
  <si>
    <t>4779788275</t>
  </si>
  <si>
    <t>Meneau</t>
  </si>
  <si>
    <t>Charles</t>
  </si>
  <si>
    <t>5146216229</t>
  </si>
  <si>
    <t>Minnich</t>
  </si>
  <si>
    <t>Ethan</t>
  </si>
  <si>
    <t>2956524748</t>
  </si>
  <si>
    <t>Molloy</t>
  </si>
  <si>
    <t>Samoan</t>
  </si>
  <si>
    <t>5180354324</t>
  </si>
  <si>
    <t>Moshashaee</t>
  </si>
  <si>
    <t>Deanna</t>
  </si>
  <si>
    <t>3580952174</t>
  </si>
  <si>
    <t>Namburu</t>
  </si>
  <si>
    <t>Sahiti</t>
  </si>
  <si>
    <t>7951262332</t>
  </si>
  <si>
    <t>Newhoff</t>
  </si>
  <si>
    <t>Charlie</t>
  </si>
  <si>
    <t>1691476558</t>
  </si>
  <si>
    <t>Nguyen</t>
  </si>
  <si>
    <t>Camden</t>
  </si>
  <si>
    <t>3295280687</t>
  </si>
  <si>
    <t>O'Brien</t>
  </si>
  <si>
    <t>Colin</t>
  </si>
  <si>
    <t>7552727381</t>
  </si>
  <si>
    <t>Patel</t>
  </si>
  <si>
    <t>Kaylin</t>
  </si>
  <si>
    <t>7019805161</t>
  </si>
  <si>
    <t>Perry</t>
  </si>
  <si>
    <t>John-paul</t>
  </si>
  <si>
    <t>3395784690</t>
  </si>
  <si>
    <t>Rambo</t>
  </si>
  <si>
    <t>Forest</t>
  </si>
  <si>
    <t>8664907746</t>
  </si>
  <si>
    <t>Rice</t>
  </si>
  <si>
    <t>Zachary</t>
  </si>
  <si>
    <t>7138200690</t>
  </si>
  <si>
    <t>Roder</t>
  </si>
  <si>
    <t>Kieran</t>
  </si>
  <si>
    <t>4623564284</t>
  </si>
  <si>
    <t>Russell</t>
  </si>
  <si>
    <t>Logan</t>
  </si>
  <si>
    <t>2130919661</t>
  </si>
  <si>
    <t>Sabino Arana</t>
  </si>
  <si>
    <t>Alexander</t>
  </si>
  <si>
    <t>Laotian</t>
  </si>
  <si>
    <t>1481757658</t>
  </si>
  <si>
    <t>Salvado</t>
  </si>
  <si>
    <t>Miro</t>
  </si>
  <si>
    <t>9663071826</t>
  </si>
  <si>
    <t>Sancheti</t>
  </si>
  <si>
    <t>Shreya</t>
  </si>
  <si>
    <t>7377862803</t>
  </si>
  <si>
    <t>Singh</t>
  </si>
  <si>
    <t>Aryaveer</t>
  </si>
  <si>
    <t>5685086327</t>
  </si>
  <si>
    <t>Stein</t>
  </si>
  <si>
    <t>Ari</t>
  </si>
  <si>
    <t>4347161403</t>
  </si>
  <si>
    <t>Stern</t>
  </si>
  <si>
    <t>Nathan</t>
  </si>
  <si>
    <t>9273577083</t>
  </si>
  <si>
    <t>Voloshin</t>
  </si>
  <si>
    <t>Aaron</t>
  </si>
  <si>
    <t>8995124237</t>
  </si>
  <si>
    <t>Vree</t>
  </si>
  <si>
    <t>William</t>
  </si>
  <si>
    <t>5752464502</t>
  </si>
  <si>
    <t>Weidner</t>
  </si>
  <si>
    <t>James</t>
  </si>
  <si>
    <t>3300473531</t>
  </si>
  <si>
    <t>Winter</t>
  </si>
  <si>
    <t>5486438867</t>
  </si>
  <si>
    <t>Yee</t>
  </si>
  <si>
    <t>Alina</t>
  </si>
  <si>
    <t>Academic Year</t>
  </si>
  <si>
    <t>5984532505</t>
  </si>
  <si>
    <t>Allen</t>
  </si>
  <si>
    <t>Savannah</t>
  </si>
  <si>
    <t>23-24</t>
  </si>
  <si>
    <t>4108914720</t>
  </si>
  <si>
    <t>Bogak</t>
  </si>
  <si>
    <t>Elizabeth</t>
  </si>
  <si>
    <t>6220900732</t>
  </si>
  <si>
    <t>Boyd</t>
  </si>
  <si>
    <t>Lillian</t>
  </si>
  <si>
    <t>9689604491</t>
  </si>
  <si>
    <t>Brill</t>
  </si>
  <si>
    <t>Harper</t>
  </si>
  <si>
    <t>6923750016</t>
  </si>
  <si>
    <t>Burke</t>
  </si>
  <si>
    <t>Tor</t>
  </si>
  <si>
    <t>2016291082</t>
  </si>
  <si>
    <t>Chew</t>
  </si>
  <si>
    <t>Zoey</t>
  </si>
  <si>
    <t>2031940800</t>
  </si>
  <si>
    <t>Denise</t>
  </si>
  <si>
    <t>Max</t>
  </si>
  <si>
    <t>5569329598</t>
  </si>
  <si>
    <t>Diaconu</t>
  </si>
  <si>
    <t>Sebastian</t>
  </si>
  <si>
    <t>2470549375</t>
  </si>
  <si>
    <t>Disharoon</t>
  </si>
  <si>
    <t>Phoebe</t>
  </si>
  <si>
    <t>4912243143</t>
  </si>
  <si>
    <t>Dowd</t>
  </si>
  <si>
    <t>Kayden</t>
  </si>
  <si>
    <t>3606424571</t>
  </si>
  <si>
    <t>Durham</t>
  </si>
  <si>
    <t>Maia</t>
  </si>
  <si>
    <t>6403475564</t>
  </si>
  <si>
    <t>Garritano</t>
  </si>
  <si>
    <t>Nico</t>
  </si>
  <si>
    <t>2537539288</t>
  </si>
  <si>
    <t>Gillespie</t>
  </si>
  <si>
    <t>Ilaria</t>
  </si>
  <si>
    <t>6721984844</t>
  </si>
  <si>
    <t>Glover</t>
  </si>
  <si>
    <t>Sofia</t>
  </si>
  <si>
    <t>6243852903</t>
  </si>
  <si>
    <t>Gomez</t>
  </si>
  <si>
    <t>Belen</t>
  </si>
  <si>
    <t>No Answer Provided</t>
  </si>
  <si>
    <t>8250521916</t>
  </si>
  <si>
    <t>Hoxsey</t>
  </si>
  <si>
    <t>8483655036</t>
  </si>
  <si>
    <t>Jaeger</t>
  </si>
  <si>
    <t>1313719200</t>
  </si>
  <si>
    <t>King</t>
  </si>
  <si>
    <t>Samuel</t>
  </si>
  <si>
    <t>9716865794</t>
  </si>
  <si>
    <t>Laffer</t>
  </si>
  <si>
    <t>Fern</t>
  </si>
  <si>
    <t>1142765976</t>
  </si>
  <si>
    <t>Lin</t>
  </si>
  <si>
    <t>Peijia</t>
  </si>
  <si>
    <t>2832201178</t>
  </si>
  <si>
    <t>Mathews</t>
  </si>
  <si>
    <t>Isaac</t>
  </si>
  <si>
    <t>6060739408</t>
  </si>
  <si>
    <t>Mbaidjol</t>
  </si>
  <si>
    <t>Zara</t>
  </si>
  <si>
    <t>3609929632</t>
  </si>
  <si>
    <t>McDermott</t>
  </si>
  <si>
    <t>Emily</t>
  </si>
  <si>
    <t>3551865930</t>
  </si>
  <si>
    <t>Melenkivitz</t>
  </si>
  <si>
    <t>Avery</t>
  </si>
  <si>
    <t>3953756283</t>
  </si>
  <si>
    <t>Moran</t>
  </si>
  <si>
    <t>Jack</t>
  </si>
  <si>
    <t>7987949335</t>
  </si>
  <si>
    <t>O'Leary</t>
  </si>
  <si>
    <t>Ketan</t>
  </si>
  <si>
    <t>6680106360</t>
  </si>
  <si>
    <t>Pang</t>
  </si>
  <si>
    <t>Brandon</t>
  </si>
  <si>
    <t>American Indian or Alaskan Native</t>
  </si>
  <si>
    <t>5381059026</t>
  </si>
  <si>
    <t>Paredes Olvera</t>
  </si>
  <si>
    <t>Ashley</t>
  </si>
  <si>
    <t>5053421035</t>
  </si>
  <si>
    <t>Powell</t>
  </si>
  <si>
    <t>Brianna</t>
  </si>
  <si>
    <t>2211397018</t>
  </si>
  <si>
    <t>Previtali</t>
  </si>
  <si>
    <t>Jasper</t>
  </si>
  <si>
    <t>5945751966</t>
  </si>
  <si>
    <t>Psychoyos</t>
  </si>
  <si>
    <t>Ana Alexa</t>
  </si>
  <si>
    <t>7743121356</t>
  </si>
  <si>
    <t>Sajche</t>
  </si>
  <si>
    <t>Astrid</t>
  </si>
  <si>
    <t>5212323753</t>
  </si>
  <si>
    <t>Schaefer</t>
  </si>
  <si>
    <t>Matthew</t>
  </si>
  <si>
    <t>8910662905</t>
  </si>
  <si>
    <t>Sepan</t>
  </si>
  <si>
    <t>Shushanik</t>
  </si>
  <si>
    <t>7325567234</t>
  </si>
  <si>
    <t>Shea</t>
  </si>
  <si>
    <t>Tristan</t>
  </si>
  <si>
    <t>6956473559</t>
  </si>
  <si>
    <t>Shumaker</t>
  </si>
  <si>
    <t>Andrew</t>
  </si>
  <si>
    <t>1649740342</t>
  </si>
  <si>
    <t>Sjahsam</t>
  </si>
  <si>
    <t>Emery</t>
  </si>
  <si>
    <t>2272691597</t>
  </si>
  <si>
    <t>Snekkevik</t>
  </si>
  <si>
    <t>Eric</t>
  </si>
  <si>
    <t>6965508161</t>
  </si>
  <si>
    <t>Jakob</t>
  </si>
  <si>
    <t>5374646087</t>
  </si>
  <si>
    <t>Southwick</t>
  </si>
  <si>
    <t>Sasha</t>
  </si>
  <si>
    <t>7367834845</t>
  </si>
  <si>
    <t>Stewart</t>
  </si>
  <si>
    <t>Piper</t>
  </si>
  <si>
    <t>3925237195</t>
  </si>
  <si>
    <t>Troy</t>
  </si>
  <si>
    <t>Madison</t>
  </si>
  <si>
    <t>7639940226</t>
  </si>
  <si>
    <t>Vergara</t>
  </si>
  <si>
    <t>Eddie</t>
  </si>
  <si>
    <t>1251066431</t>
  </si>
  <si>
    <t>Wenzel</t>
  </si>
  <si>
    <t>Owen</t>
  </si>
  <si>
    <t>4029694582</t>
  </si>
  <si>
    <t>Taylor</t>
  </si>
  <si>
    <t>2917726424</t>
  </si>
  <si>
    <t>Zea</t>
  </si>
  <si>
    <t>Bode</t>
  </si>
  <si>
    <t>3437045076</t>
  </si>
  <si>
    <t>Hayden</t>
  </si>
  <si>
    <t>24-25</t>
  </si>
  <si>
    <t>2538995308</t>
  </si>
  <si>
    <t>Aronson</t>
  </si>
  <si>
    <t>Evan</t>
  </si>
  <si>
    <t>2720574865</t>
  </si>
  <si>
    <t>Baker</t>
  </si>
  <si>
    <t>Sean</t>
  </si>
  <si>
    <t>7455499795</t>
  </si>
  <si>
    <t>Barnes</t>
  </si>
  <si>
    <t>7642552645</t>
  </si>
  <si>
    <t>Becker</t>
  </si>
  <si>
    <t>Sophia</t>
  </si>
  <si>
    <t>5463992417</t>
  </si>
  <si>
    <t>Benin</t>
  </si>
  <si>
    <t>Sidney</t>
  </si>
  <si>
    <t>3682194838</t>
  </si>
  <si>
    <t>Buell</t>
  </si>
  <si>
    <t>Amelia</t>
  </si>
  <si>
    <t>2100259675</t>
  </si>
  <si>
    <t>Cate</t>
  </si>
  <si>
    <t>3290132362</t>
  </si>
  <si>
    <t>Calderon Alvarez</t>
  </si>
  <si>
    <t>Braily</t>
  </si>
  <si>
    <t>3793278352</t>
  </si>
  <si>
    <t>Remy</t>
  </si>
  <si>
    <t>9137215427</t>
  </si>
  <si>
    <t>Dayton</t>
  </si>
  <si>
    <t>Anderson</t>
  </si>
  <si>
    <t>8117207638</t>
  </si>
  <si>
    <t>Doan</t>
  </si>
  <si>
    <t>Leia</t>
  </si>
  <si>
    <t>3732120224</t>
  </si>
  <si>
    <t>Scarlett</t>
  </si>
  <si>
    <t>1241645602</t>
  </si>
  <si>
    <t>Fischer</t>
  </si>
  <si>
    <t>Devon</t>
  </si>
  <si>
    <t>2532054802</t>
  </si>
  <si>
    <t>Joshua</t>
  </si>
  <si>
    <t>6565164906</t>
  </si>
  <si>
    <t>Grammer</t>
  </si>
  <si>
    <t>4085724712</t>
  </si>
  <si>
    <t>Ivan</t>
  </si>
  <si>
    <t>6342064828</t>
  </si>
  <si>
    <t>Harrow</t>
  </si>
  <si>
    <t>2944171991</t>
  </si>
  <si>
    <t>Hawkins</t>
  </si>
  <si>
    <t>3787724507</t>
  </si>
  <si>
    <t>Ikeda</t>
  </si>
  <si>
    <t>5572040771</t>
  </si>
  <si>
    <t>Johnson</t>
  </si>
  <si>
    <t>8515397441</t>
  </si>
  <si>
    <t>Jones</t>
  </si>
  <si>
    <t>Violetta</t>
  </si>
  <si>
    <t>7782793288</t>
  </si>
  <si>
    <t>Keast</t>
  </si>
  <si>
    <t>3005579092</t>
  </si>
  <si>
    <t>Kelly</t>
  </si>
  <si>
    <t>6933712476</t>
  </si>
  <si>
    <t>5797643308</t>
  </si>
  <si>
    <t>Lawlor</t>
  </si>
  <si>
    <t>1232428443</t>
  </si>
  <si>
    <t>Bennett</t>
  </si>
  <si>
    <t>7610469851</t>
  </si>
  <si>
    <t>MacKinnon Eagan</t>
  </si>
  <si>
    <t>Xylo</t>
  </si>
  <si>
    <t>5443018806</t>
  </si>
  <si>
    <t>Marsh</t>
  </si>
  <si>
    <t>Anais</t>
  </si>
  <si>
    <t>3398716721</t>
  </si>
  <si>
    <t>Mayers</t>
  </si>
  <si>
    <t>Molly</t>
  </si>
  <si>
    <t>8348647645</t>
  </si>
  <si>
    <t>McEldowney</t>
  </si>
  <si>
    <t>Finn</t>
  </si>
  <si>
    <t>6191168218</t>
  </si>
  <si>
    <t>Michael Hegwer</t>
  </si>
  <si>
    <t>7570616534</t>
  </si>
  <si>
    <t>Million</t>
  </si>
  <si>
    <t>4233857848</t>
  </si>
  <si>
    <t>5223278867</t>
  </si>
  <si>
    <t>Mullen</t>
  </si>
  <si>
    <t>Callum</t>
  </si>
  <si>
    <t>5097068853</t>
  </si>
  <si>
    <t>Palomino</t>
  </si>
  <si>
    <t>5686477402</t>
  </si>
  <si>
    <t>Purvis</t>
  </si>
  <si>
    <t>5461090378</t>
  </si>
  <si>
    <t>Rajagopal</t>
  </si>
  <si>
    <t>Asha</t>
  </si>
  <si>
    <t>6057701403</t>
  </si>
  <si>
    <t>Schafer</t>
  </si>
  <si>
    <t>Mika</t>
  </si>
  <si>
    <t>Vietnamese</t>
  </si>
  <si>
    <t>2216471591</t>
  </si>
  <si>
    <t>Schmidt</t>
  </si>
  <si>
    <t>Justin</t>
  </si>
  <si>
    <t>6537360745</t>
  </si>
  <si>
    <t>Seda</t>
  </si>
  <si>
    <t>1963774620</t>
  </si>
  <si>
    <t>Shelston</t>
  </si>
  <si>
    <t>Brooke</t>
  </si>
  <si>
    <t>6774093887</t>
  </si>
  <si>
    <t>Sims</t>
  </si>
  <si>
    <t>Cole</t>
  </si>
  <si>
    <t>8120820183</t>
  </si>
  <si>
    <t>Smith</t>
  </si>
  <si>
    <t>Elora</t>
  </si>
  <si>
    <t>9311910884</t>
  </si>
  <si>
    <t>Gabe</t>
  </si>
  <si>
    <t>6359416637</t>
  </si>
  <si>
    <t>7192429953</t>
  </si>
  <si>
    <t>Vail</t>
  </si>
  <si>
    <t>Adelaide</t>
  </si>
  <si>
    <t>7136618951</t>
  </si>
  <si>
    <t>Wallace</t>
  </si>
  <si>
    <t>Johannah</t>
  </si>
  <si>
    <t>5253237360</t>
  </si>
  <si>
    <t>Walsh</t>
  </si>
  <si>
    <t>Patrick</t>
  </si>
  <si>
    <t>6755663698</t>
  </si>
  <si>
    <t>Whitney</t>
  </si>
  <si>
    <t>9051069126</t>
  </si>
  <si>
    <t>Yu</t>
  </si>
  <si>
    <t>Nicholas</t>
  </si>
  <si>
    <t>4230764965</t>
  </si>
  <si>
    <t>Alaniz</t>
  </si>
  <si>
    <t>Joaquin</t>
  </si>
  <si>
    <t>25-26</t>
  </si>
  <si>
    <t>1638572073</t>
  </si>
  <si>
    <t>Bagchi</t>
  </si>
  <si>
    <t>Ronit</t>
  </si>
  <si>
    <t>5689564773</t>
  </si>
  <si>
    <t>Baluda</t>
  </si>
  <si>
    <t>Genevieve</t>
  </si>
  <si>
    <t>1371393808</t>
  </si>
  <si>
    <t>Browning</t>
  </si>
  <si>
    <t>7634167402</t>
  </si>
  <si>
    <t>4786069680</t>
  </si>
  <si>
    <t>Yukiko</t>
  </si>
  <si>
    <t>7517387204</t>
  </si>
  <si>
    <t>Contreras</t>
  </si>
  <si>
    <t>Amelie</t>
  </si>
  <si>
    <t>9081513775</t>
  </si>
  <si>
    <t>Cortes</t>
  </si>
  <si>
    <t>Kennedy</t>
  </si>
  <si>
    <t>9079467366</t>
  </si>
  <si>
    <t>Dignon-Neville</t>
  </si>
  <si>
    <t>Alasdair</t>
  </si>
  <si>
    <t>5238996208</t>
  </si>
  <si>
    <t>Fong</t>
  </si>
  <si>
    <t>Vincent</t>
  </si>
  <si>
    <t>1221064064</t>
  </si>
  <si>
    <t>Fontaine</t>
  </si>
  <si>
    <t>Blake</t>
  </si>
  <si>
    <t>5982259645</t>
  </si>
  <si>
    <t>Friedman</t>
  </si>
  <si>
    <t>Ma'ayan</t>
  </si>
  <si>
    <t>1506579017</t>
  </si>
  <si>
    <t>Gonzalez- Espana</t>
  </si>
  <si>
    <t>Gadiel</t>
  </si>
  <si>
    <t>5425134366</t>
  </si>
  <si>
    <t>Greene</t>
  </si>
  <si>
    <t>9512396910</t>
  </si>
  <si>
    <t>Hutchinson</t>
  </si>
  <si>
    <t>Meryl</t>
  </si>
  <si>
    <t>8412714900</t>
  </si>
  <si>
    <t>Italiano</t>
  </si>
  <si>
    <t>6387427552</t>
  </si>
  <si>
    <t>Emerson</t>
  </si>
  <si>
    <t>6255057014</t>
  </si>
  <si>
    <t>3753239545</t>
  </si>
  <si>
    <t>Mitchell</t>
  </si>
  <si>
    <t>7625570657</t>
  </si>
  <si>
    <t>Lily</t>
  </si>
  <si>
    <t>6401286090</t>
  </si>
  <si>
    <t>Lau</t>
  </si>
  <si>
    <t>HokYin Hayley</t>
  </si>
  <si>
    <t>1387656167</t>
  </si>
  <si>
    <t>John</t>
  </si>
  <si>
    <t>2309069790</t>
  </si>
  <si>
    <t>Linvill</t>
  </si>
  <si>
    <t>Eleanor</t>
  </si>
  <si>
    <t>7780844013</t>
  </si>
  <si>
    <t>Marcussen</t>
  </si>
  <si>
    <t>Rhys</t>
  </si>
  <si>
    <t>8452232627</t>
  </si>
  <si>
    <t>Olivia</t>
  </si>
  <si>
    <t>1508023664</t>
  </si>
  <si>
    <t>Mazariegos Lopez</t>
  </si>
  <si>
    <t>Bradley</t>
  </si>
  <si>
    <t>6978171126</t>
  </si>
  <si>
    <t>McLeary</t>
  </si>
  <si>
    <t>8902037711</t>
  </si>
  <si>
    <t>Medina</t>
  </si>
  <si>
    <t>Camila</t>
  </si>
  <si>
    <t>4544156553</t>
  </si>
  <si>
    <t>4218493781</t>
  </si>
  <si>
    <t>Mitaine</t>
  </si>
  <si>
    <t>Madeline</t>
  </si>
  <si>
    <t>3144909745</t>
  </si>
  <si>
    <t>Tallulah</t>
  </si>
  <si>
    <t>1211892254</t>
  </si>
  <si>
    <t>Morgan</t>
  </si>
  <si>
    <t>Coen</t>
  </si>
  <si>
    <t>5756595917</t>
  </si>
  <si>
    <t>Justus</t>
  </si>
  <si>
    <t>9935872288</t>
  </si>
  <si>
    <t>Coco</t>
  </si>
  <si>
    <t>6307759754</t>
  </si>
  <si>
    <t>Nixon</t>
  </si>
  <si>
    <t>7917307132</t>
  </si>
  <si>
    <t>Ockner</t>
  </si>
  <si>
    <t>Myles</t>
  </si>
  <si>
    <t>6632018425</t>
  </si>
  <si>
    <t>5749495007</t>
  </si>
  <si>
    <t>Pathuri</t>
  </si>
  <si>
    <t>Piyanshi</t>
  </si>
  <si>
    <t>4268497476</t>
  </si>
  <si>
    <t>Pelleriti</t>
  </si>
  <si>
    <t>Evelyn</t>
  </si>
  <si>
    <t>5617429007</t>
  </si>
  <si>
    <t>Phipps</t>
  </si>
  <si>
    <t>Saoirse</t>
  </si>
  <si>
    <t>1606934081</t>
  </si>
  <si>
    <t>Pomfret</t>
  </si>
  <si>
    <t>Vivienne</t>
  </si>
  <si>
    <t>9437551525</t>
  </si>
  <si>
    <t>Poojary</t>
  </si>
  <si>
    <t>Saachi</t>
  </si>
  <si>
    <t>5247184680</t>
  </si>
  <si>
    <t>3279478702</t>
  </si>
  <si>
    <t>Rhodes</t>
  </si>
  <si>
    <t>Drake</t>
  </si>
  <si>
    <t>2734778485</t>
  </si>
  <si>
    <t>Rigsby</t>
  </si>
  <si>
    <t>Grant</t>
  </si>
  <si>
    <t>2730077965</t>
  </si>
  <si>
    <t>Rossetti</t>
  </si>
  <si>
    <t>Margot</t>
  </si>
  <si>
    <t>1496921488</t>
  </si>
  <si>
    <t>Sawyer</t>
  </si>
  <si>
    <t>9754306727</t>
  </si>
  <si>
    <t>Shuman</t>
  </si>
  <si>
    <t>Audrey</t>
  </si>
  <si>
    <t>8008733531</t>
  </si>
  <si>
    <t>Silverberg</t>
  </si>
  <si>
    <t>Abraham</t>
  </si>
  <si>
    <t>5630256180</t>
  </si>
  <si>
    <t>Arjun</t>
  </si>
  <si>
    <t>4419962155</t>
  </si>
  <si>
    <t>Talia</t>
  </si>
  <si>
    <t>5931543947</t>
  </si>
  <si>
    <t>Thai</t>
  </si>
  <si>
    <t>Inara</t>
  </si>
  <si>
    <t>7115642831</t>
  </si>
  <si>
    <t>Tidwell</t>
  </si>
  <si>
    <t>Luna</t>
  </si>
  <si>
    <t>Unknown/Declined to State</t>
  </si>
  <si>
    <t>1278863098</t>
  </si>
  <si>
    <t>Rya</t>
  </si>
  <si>
    <t>7406873730</t>
  </si>
  <si>
    <t>Uppendahl</t>
  </si>
  <si>
    <t>Levi</t>
  </si>
  <si>
    <t>7611636846</t>
  </si>
  <si>
    <t>Van Rooyen</t>
  </si>
  <si>
    <t>Maya</t>
  </si>
  <si>
    <t>3110316963</t>
  </si>
  <si>
    <t>Vilar</t>
  </si>
  <si>
    <t>5904570025</t>
  </si>
  <si>
    <t>Wagner</t>
  </si>
  <si>
    <t>Margaret</t>
  </si>
  <si>
    <t>5954192010</t>
  </si>
  <si>
    <t>Weisshaar</t>
  </si>
  <si>
    <t>Harlow</t>
  </si>
  <si>
    <t>9727209753</t>
  </si>
  <si>
    <t>Wells</t>
  </si>
  <si>
    <t>Roland</t>
  </si>
  <si>
    <t>7611438137</t>
  </si>
  <si>
    <t>Whaley</t>
  </si>
  <si>
    <t>Grayson</t>
  </si>
  <si>
    <t>2957797168</t>
  </si>
  <si>
    <t>Teagan</t>
  </si>
  <si>
    <t>6126575872</t>
  </si>
  <si>
    <t>Zaich</t>
  </si>
  <si>
    <t>Sorrel</t>
  </si>
  <si>
    <t>3996642194</t>
  </si>
  <si>
    <t>Zoog</t>
  </si>
  <si>
    <t>Clara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</si>
</sst>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Calibri"/>
      <scheme val="minor"/>
    </font>
    <font>
      <b/>
      <color theme="1"/>
      <name val="Arial"/>
    </font>
    <font>
      <sz val="9.0"/>
      <color theme="1"/>
      <name val="Arial"/>
    </font>
    <font>
      <color theme="1"/>
      <name val="Calibri"/>
      <scheme val="minor"/>
    </font>
    <font>
      <color theme="1"/>
      <name val="Calibri"/>
    </font>
    <font>
      <sz val="9.0"/>
      <color rgb="FF434343"/>
      <name val="Arial"/>
    </font>
    <font>
      <sz val="9.0"/>
      <color rgb="FF2C481F"/>
      <name val="Arial"/>
    </font>
    <font>
      <sz val="9.0"/>
      <color rgb="FF383A3C"/>
      <name val="Arial"/>
    </font>
    <font>
      <color rgb="FF434343"/>
      <name val="Roboto"/>
    </font>
    <font>
      <sz val="9.0"/>
      <color rgb="FF4C535E"/>
      <name val="Arial"/>
    </font>
    <font>
      <sz val="9.0"/>
      <color rgb="FF2A3243"/>
      <name val="Arial"/>
    </font>
    <font>
      <sz val="9.0"/>
      <color rgb="FF423671"/>
      <name val="Arial"/>
    </font>
    <font>
      <sz val="9.0"/>
      <color rgb="FF3E4186"/>
      <name val="Arial"/>
    </font>
    <font>
      <sz val="9.0"/>
      <color rgb="FF363F32"/>
      <name val="Arial"/>
    </font>
    <font>
      <sz val="9.0"/>
      <color rgb="FF444D5F"/>
      <name val="Arial"/>
    </font>
    <font>
      <sz val="9.0"/>
      <color rgb="FF1D2715"/>
      <name val="Arial"/>
    </font>
    <font>
      <sz val="9.0"/>
      <color rgb="FF2D2D2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vertical="bottom"/>
    </xf>
    <xf borderId="1" fillId="2" fontId="5" numFmtId="49" xfId="0" applyAlignment="1" applyBorder="1" applyFill="1" applyFont="1" applyNumberFormat="1">
      <alignment shrinkToFit="0" vertical="center" wrapText="0"/>
    </xf>
    <xf borderId="2" fillId="2" fontId="5" numFmtId="49" xfId="0" applyAlignment="1" applyBorder="1" applyFont="1" applyNumberFormat="1">
      <alignment shrinkToFit="0" vertical="center" wrapText="0"/>
    </xf>
    <xf borderId="2" fillId="2" fontId="5" numFmtId="1" xfId="0" applyAlignment="1" applyBorder="1" applyFont="1" applyNumberFormat="1">
      <alignment horizontal="right" shrinkToFit="0" vertical="center" wrapText="0"/>
    </xf>
    <xf borderId="2" fillId="2" fontId="6" numFmtId="49" xfId="0" applyAlignment="1" applyBorder="1" applyFont="1" applyNumberFormat="1">
      <alignment shrinkToFit="0" vertical="center" wrapText="0"/>
    </xf>
    <xf borderId="2" fillId="2" fontId="7" numFmtId="49" xfId="0" applyAlignment="1" applyBorder="1" applyFont="1" applyNumberFormat="1">
      <alignment shrinkToFit="0" vertical="center" wrapText="0"/>
    </xf>
    <xf borderId="3" fillId="2" fontId="8" numFmtId="0" xfId="0" applyAlignment="1" applyBorder="1" applyFont="1">
      <alignment shrinkToFit="0" vertical="center" wrapText="0"/>
    </xf>
    <xf borderId="4" fillId="3" fontId="5" numFmtId="49" xfId="0" applyAlignment="1" applyBorder="1" applyFill="1" applyFont="1" applyNumberFormat="1">
      <alignment shrinkToFit="0" vertical="center" wrapText="0"/>
    </xf>
    <xf borderId="5" fillId="3" fontId="5" numFmtId="49" xfId="0" applyAlignment="1" applyBorder="1" applyFont="1" applyNumberFormat="1">
      <alignment shrinkToFit="0" vertical="center" wrapText="0"/>
    </xf>
    <xf borderId="5" fillId="3" fontId="5" numFmtId="1" xfId="0" applyAlignment="1" applyBorder="1" applyFont="1" applyNumberFormat="1">
      <alignment horizontal="right" shrinkToFit="0" vertical="center" wrapText="0"/>
    </xf>
    <xf borderId="5" fillId="3" fontId="6" numFmtId="49" xfId="0" applyAlignment="1" applyBorder="1" applyFont="1" applyNumberFormat="1">
      <alignment shrinkToFit="0" vertical="center" wrapText="0"/>
    </xf>
    <xf borderId="5" fillId="3" fontId="9" numFmtId="49" xfId="0" applyAlignment="1" applyBorder="1" applyFont="1" applyNumberFormat="1">
      <alignment shrinkToFit="0" vertical="center" wrapText="0"/>
    </xf>
    <xf borderId="6" fillId="3" fontId="8" numFmtId="0" xfId="0" applyAlignment="1" applyBorder="1" applyFont="1">
      <alignment shrinkToFit="0" vertical="center" wrapText="0"/>
    </xf>
    <xf borderId="2" fillId="2" fontId="10" numFmtId="49" xfId="0" applyAlignment="1" applyBorder="1" applyFont="1" applyNumberFormat="1">
      <alignment shrinkToFit="0" vertical="center" wrapText="0"/>
    </xf>
    <xf borderId="2" fillId="2" fontId="9" numFmtId="49" xfId="0" applyAlignment="1" applyBorder="1" applyFont="1" applyNumberFormat="1">
      <alignment shrinkToFit="0" vertical="center" wrapText="0"/>
    </xf>
    <xf borderId="5" fillId="3" fontId="10" numFmtId="49" xfId="0" applyAlignment="1" applyBorder="1" applyFont="1" applyNumberFormat="1">
      <alignment shrinkToFit="0" vertical="center" wrapText="0"/>
    </xf>
    <xf borderId="5" fillId="3" fontId="7" numFmtId="49" xfId="0" applyAlignment="1" applyBorder="1" applyFont="1" applyNumberFormat="1">
      <alignment shrinkToFit="0" vertical="center" wrapText="0"/>
    </xf>
    <xf borderId="7" fillId="3" fontId="5" numFmtId="49" xfId="0" applyAlignment="1" applyBorder="1" applyFont="1" applyNumberFormat="1">
      <alignment shrinkToFit="0" vertical="center" wrapText="0"/>
    </xf>
    <xf borderId="8" fillId="3" fontId="5" numFmtId="49" xfId="0" applyAlignment="1" applyBorder="1" applyFont="1" applyNumberFormat="1">
      <alignment shrinkToFit="0" vertical="center" wrapText="0"/>
    </xf>
    <xf borderId="8" fillId="3" fontId="5" numFmtId="1" xfId="0" applyAlignment="1" applyBorder="1" applyFont="1" applyNumberFormat="1">
      <alignment horizontal="right" shrinkToFit="0" vertical="center" wrapText="0"/>
    </xf>
    <xf borderId="8" fillId="3" fontId="10" numFmtId="49" xfId="0" applyAlignment="1" applyBorder="1" applyFont="1" applyNumberFormat="1">
      <alignment shrinkToFit="0" vertical="center" wrapText="0"/>
    </xf>
    <xf borderId="8" fillId="3" fontId="9" numFmtId="49" xfId="0" applyAlignment="1" applyBorder="1" applyFont="1" applyNumberFormat="1">
      <alignment shrinkToFit="0" vertical="center" wrapText="0"/>
    </xf>
    <xf borderId="9" fillId="3" fontId="8" numFmtId="0" xfId="0" applyAlignment="1" applyBorder="1" applyFont="1">
      <alignment shrinkToFit="0" vertical="center" wrapText="0"/>
    </xf>
    <xf borderId="2" fillId="2" fontId="11" numFmtId="49" xfId="0" applyAlignment="1" applyBorder="1" applyFont="1" applyNumberFormat="1">
      <alignment shrinkToFit="0" vertical="center" wrapText="0"/>
    </xf>
    <xf borderId="5" fillId="3" fontId="12" numFmtId="49" xfId="0" applyAlignment="1" applyBorder="1" applyFont="1" applyNumberFormat="1">
      <alignment shrinkToFit="0" vertical="center" wrapText="0"/>
    </xf>
    <xf borderId="5" fillId="3" fontId="11" numFmtId="49" xfId="0" applyAlignment="1" applyBorder="1" applyFont="1" applyNumberFormat="1">
      <alignment shrinkToFit="0" vertical="center" wrapText="0"/>
    </xf>
    <xf borderId="2" fillId="2" fontId="12" numFmtId="49" xfId="0" applyAlignment="1" applyBorder="1" applyFont="1" applyNumberFormat="1">
      <alignment shrinkToFit="0" vertical="center" wrapText="0"/>
    </xf>
    <xf borderId="5" fillId="3" fontId="13" numFmtId="49" xfId="0" applyAlignment="1" applyBorder="1" applyFont="1" applyNumberFormat="1">
      <alignment shrinkToFit="0" vertical="center" wrapText="0"/>
    </xf>
    <xf borderId="2" fillId="2" fontId="14" numFmtId="49" xfId="0" applyAlignment="1" applyBorder="1" applyFont="1" applyNumberFormat="1">
      <alignment shrinkToFit="0" vertical="center" wrapText="0"/>
    </xf>
    <xf borderId="5" fillId="3" fontId="15" numFmtId="49" xfId="0" applyAlignment="1" applyBorder="1" applyFont="1" applyNumberFormat="1">
      <alignment shrinkToFit="0" vertical="center" wrapText="0"/>
    </xf>
    <xf borderId="2" fillId="2" fontId="16" numFmtId="49" xfId="0" applyAlignment="1" applyBorder="1" applyFont="1" applyNumberFormat="1">
      <alignment shrinkToFit="0" vertical="center" wrapText="0"/>
    </xf>
    <xf borderId="10" fillId="2" fontId="5" numFmtId="49" xfId="0" applyAlignment="1" applyBorder="1" applyFont="1" applyNumberFormat="1">
      <alignment shrinkToFit="0" vertical="center" wrapText="0"/>
    </xf>
    <xf borderId="11" fillId="2" fontId="5" numFmtId="49" xfId="0" applyAlignment="1" applyBorder="1" applyFont="1" applyNumberFormat="1">
      <alignment shrinkToFit="0" vertical="center" wrapText="0"/>
    </xf>
    <xf borderId="11" fillId="2" fontId="5" numFmtId="1" xfId="0" applyAlignment="1" applyBorder="1" applyFont="1" applyNumberFormat="1">
      <alignment horizontal="right" shrinkToFit="0" vertical="center" wrapText="0"/>
    </xf>
    <xf borderId="11" fillId="2" fontId="6" numFmtId="49" xfId="0" applyAlignment="1" applyBorder="1" applyFont="1" applyNumberFormat="1">
      <alignment shrinkToFit="0" vertical="center" wrapText="0"/>
    </xf>
    <xf borderId="11" fillId="2" fontId="14" numFmtId="49" xfId="0" applyAlignment="1" applyBorder="1" applyFont="1" applyNumberFormat="1">
      <alignment shrinkToFit="0" vertical="center" wrapText="0"/>
    </xf>
    <xf borderId="11" fillId="2" fontId="12" numFmtId="49" xfId="0" applyAlignment="1" applyBorder="1" applyFont="1" applyNumberFormat="1">
      <alignment shrinkToFit="0" vertical="center" wrapText="0"/>
    </xf>
    <xf borderId="12" fillId="2" fontId="8" numFmtId="0" xfId="0" applyAlignment="1" applyBorder="1" applyFont="1">
      <alignment shrinkToFit="0" vertical="center" wrapText="0"/>
    </xf>
    <xf borderId="8" fillId="3" fontId="7" numFmtId="49" xfId="0" applyAlignment="1" applyBorder="1" applyFont="1" applyNumberFormat="1">
      <alignment shrinkToFit="0" vertical="center" wrapText="0"/>
    </xf>
    <xf borderId="0" fillId="0" fontId="3" numFmtId="0" xfId="0" applyFont="1"/>
    <xf borderId="0" fillId="0" fontId="3" numFmtId="1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5" pivot="0" name="21-2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22-23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23-24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24-25 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25-26 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14" displayName="Math_8_enrollment_21_22" name="Math_8_enrollment_21_22" id="1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1-22-style" showColumnStripes="0" showFirstColumn="1" showLastColumn="1" showRowStripes="1"/>
</table>
</file>

<file path=xl/tables/table2.xml><?xml version="1.0" encoding="utf-8"?>
<table xmlns="http://schemas.openxmlformats.org/spreadsheetml/2006/main" ref="A1:J61" displayName="Math_8_enrollment_22_23" name="Math_8_enrollment_22_23" id="2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2-23-style" showColumnStripes="0" showFirstColumn="1" showLastColumn="1" showRowStripes="1"/>
</table>
</file>

<file path=xl/tables/table3.xml><?xml version="1.0" encoding="utf-8"?>
<table xmlns="http://schemas.openxmlformats.org/spreadsheetml/2006/main" ref="A1:J47" displayName="Math_8_enrollment_23_24" name="Math_8_enrollment_23_24" id="3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3-24-style" showColumnStripes="0" showFirstColumn="1" showLastColumn="1" showRowStripes="1"/>
</table>
</file>

<file path=xl/tables/table4.xml><?xml version="1.0" encoding="utf-8"?>
<table xmlns="http://schemas.openxmlformats.org/spreadsheetml/2006/main" ref="A1:J52" displayName="Math_8_enrollment_24_25" name="Math_8_enrollment_24_25" id="4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4-25 -style" showColumnStripes="0" showFirstColumn="1" showLastColumn="1" showRowStripes="1"/>
</table>
</file>

<file path=xl/tables/table5.xml><?xml version="1.0" encoding="utf-8"?>
<table xmlns="http://schemas.openxmlformats.org/spreadsheetml/2006/main" ref="A1:J65" displayName="Math_8_enrollment_25_26" name="Math_8_enrollment_25_26" id="5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5-26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20.0"/>
    <col customWidth="1" min="3" max="3" width="19.86"/>
    <col customWidth="1" min="4" max="4" width="15.57"/>
    <col customWidth="1" min="5" max="5" width="8.0"/>
    <col customWidth="1" min="6" max="6" width="37.14"/>
    <col customWidth="1" min="7" max="7" width="35.71"/>
    <col customWidth="1" min="8" max="8" width="18.0"/>
    <col customWidth="1" min="9" max="9" width="19.0"/>
    <col customWidth="1" min="10" max="10" width="19.71"/>
    <col customWidth="1" min="11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4" t="s">
        <v>9</v>
      </c>
    </row>
    <row r="2" ht="12.75" customHeight="1">
      <c r="A2" s="5" t="s">
        <v>10</v>
      </c>
      <c r="B2" s="5" t="s">
        <v>11</v>
      </c>
      <c r="C2" s="5" t="s">
        <v>12</v>
      </c>
      <c r="D2" s="6">
        <v>7.0</v>
      </c>
      <c r="E2" s="7" t="s">
        <v>13</v>
      </c>
      <c r="F2" s="5" t="s">
        <v>14</v>
      </c>
      <c r="G2" s="5" t="s">
        <v>15</v>
      </c>
      <c r="H2" s="6">
        <v>1111.0</v>
      </c>
      <c r="I2" s="5" t="s">
        <v>16</v>
      </c>
      <c r="J2" s="8" t="s">
        <v>17</v>
      </c>
    </row>
    <row r="3" ht="12.75" customHeight="1">
      <c r="A3" s="5" t="s">
        <v>18</v>
      </c>
      <c r="B3" s="5" t="s">
        <v>19</v>
      </c>
      <c r="C3" s="5" t="s">
        <v>20</v>
      </c>
      <c r="D3" s="6">
        <v>7.0</v>
      </c>
      <c r="E3" s="7" t="s">
        <v>13</v>
      </c>
      <c r="F3" s="5" t="s">
        <v>14</v>
      </c>
      <c r="G3" s="5" t="s">
        <v>21</v>
      </c>
      <c r="H3" s="6">
        <v>1111.0</v>
      </c>
      <c r="I3" s="5" t="s">
        <v>16</v>
      </c>
      <c r="J3" s="8" t="s">
        <v>17</v>
      </c>
    </row>
    <row r="4" ht="12.75" customHeight="1">
      <c r="A4" s="5" t="s">
        <v>22</v>
      </c>
      <c r="B4" s="5" t="s">
        <v>23</v>
      </c>
      <c r="C4" s="5" t="s">
        <v>24</v>
      </c>
      <c r="D4" s="6">
        <v>7.0</v>
      </c>
      <c r="E4" s="7" t="s">
        <v>25</v>
      </c>
      <c r="F4" s="5" t="s">
        <v>14</v>
      </c>
      <c r="G4" s="5" t="s">
        <v>15</v>
      </c>
      <c r="H4" s="6">
        <v>1111.0</v>
      </c>
      <c r="I4" s="5" t="s">
        <v>16</v>
      </c>
      <c r="J4" s="8" t="s">
        <v>17</v>
      </c>
    </row>
    <row r="5" ht="12.75" customHeight="1">
      <c r="A5" s="5" t="s">
        <v>26</v>
      </c>
      <c r="B5" s="5" t="s">
        <v>27</v>
      </c>
      <c r="C5" s="5" t="s">
        <v>28</v>
      </c>
      <c r="D5" s="6">
        <v>7.0</v>
      </c>
      <c r="E5" s="7" t="s">
        <v>13</v>
      </c>
      <c r="F5" s="5" t="s">
        <v>14</v>
      </c>
      <c r="G5" s="5" t="s">
        <v>29</v>
      </c>
      <c r="H5" s="6">
        <v>1111.0</v>
      </c>
      <c r="I5" s="5" t="s">
        <v>16</v>
      </c>
      <c r="J5" s="8" t="s">
        <v>17</v>
      </c>
    </row>
    <row r="6" ht="12.75" customHeight="1">
      <c r="A6" s="5" t="s">
        <v>30</v>
      </c>
      <c r="B6" s="5" t="s">
        <v>31</v>
      </c>
      <c r="C6" s="5" t="s">
        <v>32</v>
      </c>
      <c r="D6" s="6">
        <v>7.0</v>
      </c>
      <c r="E6" s="7" t="s">
        <v>13</v>
      </c>
      <c r="F6" s="5" t="s">
        <v>14</v>
      </c>
      <c r="G6" s="5" t="s">
        <v>29</v>
      </c>
      <c r="H6" s="6">
        <v>1111.0</v>
      </c>
      <c r="I6" s="5" t="s">
        <v>16</v>
      </c>
      <c r="J6" s="8" t="s">
        <v>17</v>
      </c>
    </row>
    <row r="7" ht="12.75" customHeight="1">
      <c r="A7" s="5" t="s">
        <v>33</v>
      </c>
      <c r="B7" s="5" t="s">
        <v>34</v>
      </c>
      <c r="C7" s="5" t="s">
        <v>35</v>
      </c>
      <c r="D7" s="6">
        <v>7.0</v>
      </c>
      <c r="E7" s="7" t="s">
        <v>13</v>
      </c>
      <c r="F7" s="5" t="s">
        <v>14</v>
      </c>
      <c r="G7" s="5" t="s">
        <v>15</v>
      </c>
      <c r="H7" s="6">
        <v>1111.0</v>
      </c>
      <c r="I7" s="5" t="s">
        <v>16</v>
      </c>
      <c r="J7" s="8" t="s">
        <v>17</v>
      </c>
    </row>
    <row r="8" ht="12.75" customHeight="1">
      <c r="A8" s="5" t="s">
        <v>36</v>
      </c>
      <c r="B8" s="5" t="s">
        <v>37</v>
      </c>
      <c r="C8" s="5" t="s">
        <v>38</v>
      </c>
      <c r="D8" s="6">
        <v>7.0</v>
      </c>
      <c r="E8" s="7" t="s">
        <v>25</v>
      </c>
      <c r="F8" s="5" t="s">
        <v>14</v>
      </c>
      <c r="G8" s="5" t="s">
        <v>15</v>
      </c>
      <c r="H8" s="6">
        <v>1111.0</v>
      </c>
      <c r="I8" s="5" t="s">
        <v>16</v>
      </c>
      <c r="J8" s="8" t="s">
        <v>17</v>
      </c>
    </row>
    <row r="9" ht="12.75" customHeight="1">
      <c r="A9" s="5" t="s">
        <v>39</v>
      </c>
      <c r="B9" s="5" t="s">
        <v>40</v>
      </c>
      <c r="C9" s="5" t="s">
        <v>41</v>
      </c>
      <c r="D9" s="6">
        <v>7.0</v>
      </c>
      <c r="E9" s="7" t="s">
        <v>25</v>
      </c>
      <c r="F9" s="5" t="s">
        <v>14</v>
      </c>
      <c r="G9" s="5" t="s">
        <v>42</v>
      </c>
      <c r="H9" s="6">
        <v>1111.0</v>
      </c>
      <c r="I9" s="5" t="s">
        <v>16</v>
      </c>
      <c r="J9" s="8" t="s">
        <v>17</v>
      </c>
    </row>
    <row r="10" ht="12.75" customHeight="1">
      <c r="A10" s="5" t="s">
        <v>43</v>
      </c>
      <c r="B10" s="5" t="s">
        <v>44</v>
      </c>
      <c r="C10" s="5" t="s">
        <v>45</v>
      </c>
      <c r="D10" s="6">
        <v>7.0</v>
      </c>
      <c r="E10" s="7" t="s">
        <v>13</v>
      </c>
      <c r="F10" s="5" t="s">
        <v>14</v>
      </c>
      <c r="G10" s="5" t="s">
        <v>46</v>
      </c>
      <c r="H10" s="6">
        <v>1111.0</v>
      </c>
      <c r="I10" s="5" t="s">
        <v>16</v>
      </c>
      <c r="J10" s="8" t="s">
        <v>17</v>
      </c>
    </row>
    <row r="11" ht="12.75" customHeight="1">
      <c r="A11" s="5" t="s">
        <v>47</v>
      </c>
      <c r="B11" s="5" t="s">
        <v>48</v>
      </c>
      <c r="C11" s="5" t="s">
        <v>49</v>
      </c>
      <c r="D11" s="6">
        <v>7.0</v>
      </c>
      <c r="E11" s="7" t="s">
        <v>13</v>
      </c>
      <c r="F11" s="5" t="s">
        <v>14</v>
      </c>
      <c r="G11" s="5" t="s">
        <v>29</v>
      </c>
      <c r="H11" s="6">
        <v>1111.0</v>
      </c>
      <c r="I11" s="5" t="s">
        <v>16</v>
      </c>
      <c r="J11" s="8" t="s">
        <v>17</v>
      </c>
    </row>
    <row r="12" ht="12.75" customHeight="1">
      <c r="A12" s="5" t="s">
        <v>50</v>
      </c>
      <c r="B12" s="5" t="s">
        <v>51</v>
      </c>
      <c r="C12" s="5" t="s">
        <v>52</v>
      </c>
      <c r="D12" s="6">
        <v>7.0</v>
      </c>
      <c r="E12" s="7" t="s">
        <v>13</v>
      </c>
      <c r="F12" s="5" t="s">
        <v>53</v>
      </c>
      <c r="G12" s="5" t="s">
        <v>15</v>
      </c>
      <c r="H12" s="6">
        <v>1111.0</v>
      </c>
      <c r="I12" s="5" t="s">
        <v>16</v>
      </c>
      <c r="J12" s="8" t="s">
        <v>17</v>
      </c>
    </row>
    <row r="13" ht="12.75" customHeight="1">
      <c r="A13" s="5" t="s">
        <v>54</v>
      </c>
      <c r="B13" s="5" t="s">
        <v>55</v>
      </c>
      <c r="C13" s="5" t="s">
        <v>56</v>
      </c>
      <c r="D13" s="6">
        <v>7.0</v>
      </c>
      <c r="E13" s="7" t="s">
        <v>13</v>
      </c>
      <c r="F13" s="5" t="s">
        <v>14</v>
      </c>
      <c r="G13" s="5" t="s">
        <v>15</v>
      </c>
      <c r="H13" s="6">
        <v>1111.0</v>
      </c>
      <c r="I13" s="5" t="s">
        <v>16</v>
      </c>
      <c r="J13" s="8" t="s">
        <v>17</v>
      </c>
    </row>
    <row r="14" ht="12.75" customHeight="1">
      <c r="A14" s="9"/>
      <c r="B14" s="9"/>
      <c r="C14" s="9"/>
      <c r="E14" s="9"/>
      <c r="F14" s="9"/>
      <c r="G14" s="9"/>
      <c r="I14" s="9"/>
      <c r="J14" s="9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DropDown="1" showErrorMessage="1" sqref="E2:E13">
      <formula1>"M,F"</formula1>
    </dataValidation>
    <dataValidation type="custom" allowBlank="1" showDropDown="1" sqref="D2:D13 H2:H13">
      <formula1>AND(ISNUMBER(D2),(NOT(OR(NOT(ISERROR(DATEVALUE(D2))), AND(ISNUMBER(D2), LEFT(CELL("format", D2))="D")))))</formula1>
    </dataValidation>
    <dataValidation allowBlank="1" showDropDown="1" sqref="A2:C13 F2:G13 I2:I13"/>
  </dataValidations>
  <printOptions/>
  <pageMargins bottom="1.0" footer="0.0" header="0.0" left="1.0" right="1.0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3" t="s">
        <v>57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2.5" customHeight="1">
      <c r="A2" s="15" t="s">
        <v>58</v>
      </c>
      <c r="B2" s="16" t="s">
        <v>59</v>
      </c>
      <c r="C2" s="16" t="s">
        <v>60</v>
      </c>
      <c r="D2" s="17">
        <v>7.0</v>
      </c>
      <c r="E2" s="18" t="s">
        <v>13</v>
      </c>
      <c r="F2" s="16" t="s">
        <v>53</v>
      </c>
      <c r="G2" s="16" t="s">
        <v>15</v>
      </c>
      <c r="H2" s="17">
        <v>1109.0</v>
      </c>
      <c r="I2" s="19" t="s">
        <v>61</v>
      </c>
      <c r="J2" s="20" t="s">
        <v>62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21" t="s">
        <v>63</v>
      </c>
      <c r="B3" s="22" t="s">
        <v>64</v>
      </c>
      <c r="C3" s="22" t="s">
        <v>65</v>
      </c>
      <c r="D3" s="23">
        <v>7.0</v>
      </c>
      <c r="E3" s="24" t="s">
        <v>13</v>
      </c>
      <c r="F3" s="22" t="s">
        <v>14</v>
      </c>
      <c r="G3" s="22" t="s">
        <v>15</v>
      </c>
      <c r="H3" s="23">
        <v>1058.0</v>
      </c>
      <c r="I3" s="25" t="s">
        <v>16</v>
      </c>
      <c r="J3" s="26" t="s">
        <v>62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15" t="s">
        <v>66</v>
      </c>
      <c r="B4" s="16" t="s">
        <v>67</v>
      </c>
      <c r="C4" s="16" t="s">
        <v>68</v>
      </c>
      <c r="D4" s="17">
        <v>7.0</v>
      </c>
      <c r="E4" s="27" t="s">
        <v>25</v>
      </c>
      <c r="F4" s="16" t="s">
        <v>14</v>
      </c>
      <c r="G4" s="16" t="s">
        <v>15</v>
      </c>
      <c r="H4" s="17">
        <v>1058.0</v>
      </c>
      <c r="I4" s="28" t="s">
        <v>16</v>
      </c>
      <c r="J4" s="20" t="s">
        <v>62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21" t="s">
        <v>69</v>
      </c>
      <c r="B5" s="22" t="s">
        <v>70</v>
      </c>
      <c r="C5" s="22" t="s">
        <v>71</v>
      </c>
      <c r="D5" s="23">
        <v>7.0</v>
      </c>
      <c r="E5" s="24" t="s">
        <v>13</v>
      </c>
      <c r="F5" s="22" t="s">
        <v>14</v>
      </c>
      <c r="G5" s="22" t="s">
        <v>29</v>
      </c>
      <c r="H5" s="23">
        <v>1058.0</v>
      </c>
      <c r="I5" s="25" t="s">
        <v>16</v>
      </c>
      <c r="J5" s="26" t="s">
        <v>62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15" t="s">
        <v>72</v>
      </c>
      <c r="B6" s="16" t="s">
        <v>73</v>
      </c>
      <c r="C6" s="16" t="s">
        <v>74</v>
      </c>
      <c r="D6" s="17">
        <v>7.0</v>
      </c>
      <c r="E6" s="18" t="s">
        <v>13</v>
      </c>
      <c r="F6" s="16" t="s">
        <v>14</v>
      </c>
      <c r="G6" s="16" t="s">
        <v>15</v>
      </c>
      <c r="H6" s="17">
        <v>1058.0</v>
      </c>
      <c r="I6" s="28" t="s">
        <v>16</v>
      </c>
      <c r="J6" s="20" t="s">
        <v>62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21" t="s">
        <v>75</v>
      </c>
      <c r="B7" s="22" t="s">
        <v>76</v>
      </c>
      <c r="C7" s="22" t="s">
        <v>77</v>
      </c>
      <c r="D7" s="23">
        <v>7.0</v>
      </c>
      <c r="E7" s="29" t="s">
        <v>25</v>
      </c>
      <c r="F7" s="22" t="s">
        <v>14</v>
      </c>
      <c r="G7" s="22" t="s">
        <v>15</v>
      </c>
      <c r="H7" s="23">
        <v>1110.0</v>
      </c>
      <c r="I7" s="30" t="s">
        <v>61</v>
      </c>
      <c r="J7" s="26" t="s">
        <v>62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15" t="s">
        <v>78</v>
      </c>
      <c r="B8" s="16" t="s">
        <v>79</v>
      </c>
      <c r="C8" s="16" t="s">
        <v>80</v>
      </c>
      <c r="D8" s="17">
        <v>7.0</v>
      </c>
      <c r="E8" s="27" t="s">
        <v>25</v>
      </c>
      <c r="F8" s="16" t="s">
        <v>14</v>
      </c>
      <c r="G8" s="16" t="s">
        <v>46</v>
      </c>
      <c r="H8" s="17">
        <v>1058.0</v>
      </c>
      <c r="I8" s="28" t="s">
        <v>16</v>
      </c>
      <c r="J8" s="20" t="s">
        <v>62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21" t="s">
        <v>81</v>
      </c>
      <c r="B9" s="22" t="s">
        <v>82</v>
      </c>
      <c r="C9" s="22" t="s">
        <v>83</v>
      </c>
      <c r="D9" s="23">
        <v>7.0</v>
      </c>
      <c r="E9" s="24" t="s">
        <v>13</v>
      </c>
      <c r="F9" s="22" t="s">
        <v>14</v>
      </c>
      <c r="G9" s="22" t="s">
        <v>15</v>
      </c>
      <c r="H9" s="23">
        <v>1107.0</v>
      </c>
      <c r="I9" s="30" t="s">
        <v>61</v>
      </c>
      <c r="J9" s="26" t="s">
        <v>62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15" t="s">
        <v>84</v>
      </c>
      <c r="B10" s="16" t="s">
        <v>85</v>
      </c>
      <c r="C10" s="16" t="s">
        <v>86</v>
      </c>
      <c r="D10" s="17">
        <v>7.0</v>
      </c>
      <c r="E10" s="27" t="s">
        <v>25</v>
      </c>
      <c r="F10" s="16" t="s">
        <v>14</v>
      </c>
      <c r="G10" s="16" t="s">
        <v>15</v>
      </c>
      <c r="H10" s="17">
        <v>1058.0</v>
      </c>
      <c r="I10" s="28" t="s">
        <v>16</v>
      </c>
      <c r="J10" s="20" t="s">
        <v>62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21" t="s">
        <v>87</v>
      </c>
      <c r="B11" s="22" t="s">
        <v>88</v>
      </c>
      <c r="C11" s="22" t="s">
        <v>60</v>
      </c>
      <c r="D11" s="23">
        <v>7.0</v>
      </c>
      <c r="E11" s="24" t="s">
        <v>13</v>
      </c>
      <c r="F11" s="22" t="s">
        <v>14</v>
      </c>
      <c r="G11" s="22" t="s">
        <v>15</v>
      </c>
      <c r="H11" s="23">
        <v>1111.0</v>
      </c>
      <c r="I11" s="30" t="s">
        <v>61</v>
      </c>
      <c r="J11" s="26" t="s">
        <v>62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15" t="s">
        <v>89</v>
      </c>
      <c r="B12" s="16" t="s">
        <v>90</v>
      </c>
      <c r="C12" s="16" t="s">
        <v>91</v>
      </c>
      <c r="D12" s="17">
        <v>7.0</v>
      </c>
      <c r="E12" s="18" t="s">
        <v>13</v>
      </c>
      <c r="F12" s="16" t="s">
        <v>14</v>
      </c>
      <c r="G12" s="16" t="s">
        <v>92</v>
      </c>
      <c r="H12" s="17">
        <v>1058.0</v>
      </c>
      <c r="I12" s="28" t="s">
        <v>16</v>
      </c>
      <c r="J12" s="20" t="s">
        <v>62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21" t="s">
        <v>93</v>
      </c>
      <c r="B13" s="22" t="s">
        <v>94</v>
      </c>
      <c r="C13" s="22" t="s">
        <v>95</v>
      </c>
      <c r="D13" s="23">
        <v>7.0</v>
      </c>
      <c r="E13" s="29" t="s">
        <v>25</v>
      </c>
      <c r="F13" s="22" t="s">
        <v>14</v>
      </c>
      <c r="G13" s="22" t="s">
        <v>29</v>
      </c>
      <c r="H13" s="23">
        <v>1107.0</v>
      </c>
      <c r="I13" s="30" t="s">
        <v>61</v>
      </c>
      <c r="J13" s="26" t="s">
        <v>62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15" t="s">
        <v>96</v>
      </c>
      <c r="B14" s="16" t="s">
        <v>97</v>
      </c>
      <c r="C14" s="16" t="s">
        <v>98</v>
      </c>
      <c r="D14" s="17">
        <v>7.0</v>
      </c>
      <c r="E14" s="18" t="s">
        <v>13</v>
      </c>
      <c r="F14" s="16" t="s">
        <v>14</v>
      </c>
      <c r="G14" s="16" t="s">
        <v>92</v>
      </c>
      <c r="H14" s="17">
        <v>1109.0</v>
      </c>
      <c r="I14" s="19" t="s">
        <v>61</v>
      </c>
      <c r="J14" s="20" t="s">
        <v>62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21" t="s">
        <v>99</v>
      </c>
      <c r="B15" s="22" t="s">
        <v>100</v>
      </c>
      <c r="C15" s="22" t="s">
        <v>101</v>
      </c>
      <c r="D15" s="23">
        <v>7.0</v>
      </c>
      <c r="E15" s="29" t="s">
        <v>25</v>
      </c>
      <c r="F15" s="22" t="s">
        <v>14</v>
      </c>
      <c r="G15" s="22" t="s">
        <v>15</v>
      </c>
      <c r="H15" s="23">
        <v>1058.0</v>
      </c>
      <c r="I15" s="25" t="s">
        <v>16</v>
      </c>
      <c r="J15" s="26" t="s">
        <v>62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15" t="s">
        <v>102</v>
      </c>
      <c r="B16" s="16" t="s">
        <v>103</v>
      </c>
      <c r="C16" s="16" t="s">
        <v>104</v>
      </c>
      <c r="D16" s="17">
        <v>7.0</v>
      </c>
      <c r="E16" s="18" t="s">
        <v>13</v>
      </c>
      <c r="F16" s="16" t="s">
        <v>14</v>
      </c>
      <c r="G16" s="16" t="s">
        <v>15</v>
      </c>
      <c r="H16" s="17">
        <v>1058.0</v>
      </c>
      <c r="I16" s="28" t="s">
        <v>16</v>
      </c>
      <c r="J16" s="20" t="s">
        <v>62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21" t="s">
        <v>105</v>
      </c>
      <c r="B17" s="22" t="s">
        <v>106</v>
      </c>
      <c r="C17" s="22" t="s">
        <v>107</v>
      </c>
      <c r="D17" s="23">
        <v>7.0</v>
      </c>
      <c r="E17" s="24" t="s">
        <v>13</v>
      </c>
      <c r="F17" s="22" t="s">
        <v>14</v>
      </c>
      <c r="G17" s="22" t="s">
        <v>15</v>
      </c>
      <c r="H17" s="23">
        <v>1058.0</v>
      </c>
      <c r="I17" s="25" t="s">
        <v>16</v>
      </c>
      <c r="J17" s="26" t="s">
        <v>62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15" t="s">
        <v>108</v>
      </c>
      <c r="B18" s="16" t="s">
        <v>109</v>
      </c>
      <c r="C18" s="16" t="s">
        <v>110</v>
      </c>
      <c r="D18" s="17">
        <v>7.0</v>
      </c>
      <c r="E18" s="27" t="s">
        <v>25</v>
      </c>
      <c r="F18" s="16" t="s">
        <v>14</v>
      </c>
      <c r="G18" s="16" t="s">
        <v>111</v>
      </c>
      <c r="H18" s="17">
        <v>1110.0</v>
      </c>
      <c r="I18" s="19" t="s">
        <v>61</v>
      </c>
      <c r="J18" s="20" t="s">
        <v>62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21" t="s">
        <v>112</v>
      </c>
      <c r="B19" s="22" t="s">
        <v>113</v>
      </c>
      <c r="C19" s="22" t="s">
        <v>114</v>
      </c>
      <c r="D19" s="23">
        <v>7.0</v>
      </c>
      <c r="E19" s="29" t="s">
        <v>25</v>
      </c>
      <c r="F19" s="22" t="s">
        <v>14</v>
      </c>
      <c r="G19" s="22" t="s">
        <v>46</v>
      </c>
      <c r="H19" s="23">
        <v>1058.0</v>
      </c>
      <c r="I19" s="25" t="s">
        <v>16</v>
      </c>
      <c r="J19" s="26" t="s">
        <v>62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15" t="s">
        <v>115</v>
      </c>
      <c r="B20" s="16" t="s">
        <v>116</v>
      </c>
      <c r="C20" s="16" t="s">
        <v>117</v>
      </c>
      <c r="D20" s="17">
        <v>7.0</v>
      </c>
      <c r="E20" s="18" t="s">
        <v>13</v>
      </c>
      <c r="F20" s="16" t="s">
        <v>14</v>
      </c>
      <c r="G20" s="16" t="s">
        <v>15</v>
      </c>
      <c r="H20" s="17">
        <v>1109.0</v>
      </c>
      <c r="I20" s="19" t="s">
        <v>61</v>
      </c>
      <c r="J20" s="20" t="s">
        <v>62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2.5" customHeight="1">
      <c r="A21" s="21" t="s">
        <v>118</v>
      </c>
      <c r="B21" s="22" t="s">
        <v>119</v>
      </c>
      <c r="C21" s="22" t="s">
        <v>120</v>
      </c>
      <c r="D21" s="23">
        <v>7.0</v>
      </c>
      <c r="E21" s="24" t="s">
        <v>13</v>
      </c>
      <c r="F21" s="22" t="s">
        <v>14</v>
      </c>
      <c r="G21" s="22" t="s">
        <v>15</v>
      </c>
      <c r="H21" s="23">
        <v>1111.0</v>
      </c>
      <c r="I21" s="30" t="s">
        <v>61</v>
      </c>
      <c r="J21" s="26" t="s">
        <v>62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2.5" customHeight="1">
      <c r="A22" s="15" t="s">
        <v>121</v>
      </c>
      <c r="B22" s="16" t="s">
        <v>122</v>
      </c>
      <c r="C22" s="16" t="s">
        <v>123</v>
      </c>
      <c r="D22" s="17">
        <v>7.0</v>
      </c>
      <c r="E22" s="18" t="s">
        <v>13</v>
      </c>
      <c r="F22" s="16" t="s">
        <v>14</v>
      </c>
      <c r="G22" s="16" t="s">
        <v>15</v>
      </c>
      <c r="H22" s="17">
        <v>1110.0</v>
      </c>
      <c r="I22" s="19" t="s">
        <v>61</v>
      </c>
      <c r="J22" s="20" t="s">
        <v>62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2.5" customHeight="1">
      <c r="A23" s="21" t="s">
        <v>124</v>
      </c>
      <c r="B23" s="22" t="s">
        <v>125</v>
      </c>
      <c r="C23" s="22" t="s">
        <v>126</v>
      </c>
      <c r="D23" s="23">
        <v>7.0</v>
      </c>
      <c r="E23" s="24" t="s">
        <v>13</v>
      </c>
      <c r="F23" s="22" t="s">
        <v>14</v>
      </c>
      <c r="G23" s="22" t="s">
        <v>15</v>
      </c>
      <c r="H23" s="23">
        <v>1106.0</v>
      </c>
      <c r="I23" s="30" t="s">
        <v>61</v>
      </c>
      <c r="J23" s="26" t="s">
        <v>62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2.5" customHeight="1">
      <c r="A24" s="15" t="s">
        <v>127</v>
      </c>
      <c r="B24" s="16" t="s">
        <v>128</v>
      </c>
      <c r="C24" s="16" t="s">
        <v>129</v>
      </c>
      <c r="D24" s="17">
        <v>7.0</v>
      </c>
      <c r="E24" s="18" t="s">
        <v>13</v>
      </c>
      <c r="F24" s="16" t="s">
        <v>53</v>
      </c>
      <c r="G24" s="16" t="s">
        <v>15</v>
      </c>
      <c r="H24" s="17">
        <v>1058.0</v>
      </c>
      <c r="I24" s="28" t="s">
        <v>16</v>
      </c>
      <c r="J24" s="20" t="s">
        <v>62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2.5" customHeight="1">
      <c r="A25" s="21" t="s">
        <v>130</v>
      </c>
      <c r="B25" s="22" t="s">
        <v>131</v>
      </c>
      <c r="C25" s="22" t="s">
        <v>132</v>
      </c>
      <c r="D25" s="23">
        <v>7.0</v>
      </c>
      <c r="E25" s="29" t="s">
        <v>25</v>
      </c>
      <c r="F25" s="22" t="s">
        <v>14</v>
      </c>
      <c r="G25" s="22" t="s">
        <v>15</v>
      </c>
      <c r="H25" s="23">
        <v>1112.0</v>
      </c>
      <c r="I25" s="30" t="s">
        <v>61</v>
      </c>
      <c r="J25" s="26" t="s">
        <v>62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2.5" customHeight="1">
      <c r="A26" s="15" t="s">
        <v>133</v>
      </c>
      <c r="B26" s="16" t="s">
        <v>134</v>
      </c>
      <c r="C26" s="16" t="s">
        <v>135</v>
      </c>
      <c r="D26" s="17">
        <v>7.0</v>
      </c>
      <c r="E26" s="27" t="s">
        <v>25</v>
      </c>
      <c r="F26" s="16" t="s">
        <v>14</v>
      </c>
      <c r="G26" s="16" t="s">
        <v>15</v>
      </c>
      <c r="H26" s="17">
        <v>1058.0</v>
      </c>
      <c r="I26" s="28" t="s">
        <v>16</v>
      </c>
      <c r="J26" s="20" t="s">
        <v>62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2.5" customHeight="1">
      <c r="A27" s="21" t="s">
        <v>136</v>
      </c>
      <c r="B27" s="22" t="s">
        <v>137</v>
      </c>
      <c r="C27" s="22" t="s">
        <v>138</v>
      </c>
      <c r="D27" s="23">
        <v>7.0</v>
      </c>
      <c r="E27" s="24" t="s">
        <v>13</v>
      </c>
      <c r="F27" s="22" t="s">
        <v>14</v>
      </c>
      <c r="G27" s="22" t="s">
        <v>29</v>
      </c>
      <c r="H27" s="23">
        <v>1058.0</v>
      </c>
      <c r="I27" s="25" t="s">
        <v>16</v>
      </c>
      <c r="J27" s="26" t="s">
        <v>62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2.5" customHeight="1">
      <c r="A28" s="15" t="s">
        <v>139</v>
      </c>
      <c r="B28" s="16" t="s">
        <v>140</v>
      </c>
      <c r="C28" s="16" t="s">
        <v>141</v>
      </c>
      <c r="D28" s="17">
        <v>7.0</v>
      </c>
      <c r="E28" s="27" t="s">
        <v>25</v>
      </c>
      <c r="F28" s="16" t="s">
        <v>14</v>
      </c>
      <c r="G28" s="16" t="s">
        <v>92</v>
      </c>
      <c r="H28" s="17">
        <v>1111.0</v>
      </c>
      <c r="I28" s="19" t="s">
        <v>61</v>
      </c>
      <c r="J28" s="20" t="s">
        <v>62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2.5" customHeight="1">
      <c r="A29" s="21" t="s">
        <v>142</v>
      </c>
      <c r="B29" s="22" t="s">
        <v>143</v>
      </c>
      <c r="C29" s="22" t="s">
        <v>144</v>
      </c>
      <c r="D29" s="23">
        <v>7.0</v>
      </c>
      <c r="E29" s="29" t="s">
        <v>25</v>
      </c>
      <c r="F29" s="22" t="s">
        <v>14</v>
      </c>
      <c r="G29" s="22" t="s">
        <v>15</v>
      </c>
      <c r="H29" s="23">
        <v>1058.0</v>
      </c>
      <c r="I29" s="25" t="s">
        <v>16</v>
      </c>
      <c r="J29" s="26" t="s">
        <v>62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2.5" customHeight="1">
      <c r="A30" s="15" t="s">
        <v>145</v>
      </c>
      <c r="B30" s="16" t="s">
        <v>146</v>
      </c>
      <c r="C30" s="16" t="s">
        <v>147</v>
      </c>
      <c r="D30" s="17">
        <v>7.0</v>
      </c>
      <c r="E30" s="18" t="s">
        <v>13</v>
      </c>
      <c r="F30" s="16" t="s">
        <v>14</v>
      </c>
      <c r="G30" s="16" t="s">
        <v>15</v>
      </c>
      <c r="H30" s="17">
        <v>1058.0</v>
      </c>
      <c r="I30" s="28" t="s">
        <v>16</v>
      </c>
      <c r="J30" s="20" t="s">
        <v>62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2.5" customHeight="1">
      <c r="A31" s="21" t="s">
        <v>148</v>
      </c>
      <c r="B31" s="22" t="s">
        <v>149</v>
      </c>
      <c r="C31" s="22" t="s">
        <v>150</v>
      </c>
      <c r="D31" s="23">
        <v>7.0</v>
      </c>
      <c r="E31" s="24" t="s">
        <v>13</v>
      </c>
      <c r="F31" s="22" t="s">
        <v>53</v>
      </c>
      <c r="G31" s="22" t="s">
        <v>15</v>
      </c>
      <c r="H31" s="23">
        <v>1058.0</v>
      </c>
      <c r="I31" s="25" t="s">
        <v>16</v>
      </c>
      <c r="J31" s="26" t="s">
        <v>62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2.5" customHeight="1">
      <c r="A32" s="15" t="s">
        <v>151</v>
      </c>
      <c r="B32" s="16" t="s">
        <v>152</v>
      </c>
      <c r="C32" s="16" t="s">
        <v>107</v>
      </c>
      <c r="D32" s="17">
        <v>7.0</v>
      </c>
      <c r="E32" s="18" t="s">
        <v>13</v>
      </c>
      <c r="F32" s="16" t="s">
        <v>14</v>
      </c>
      <c r="G32" s="16" t="s">
        <v>15</v>
      </c>
      <c r="H32" s="17">
        <v>1058.0</v>
      </c>
      <c r="I32" s="28" t="s">
        <v>16</v>
      </c>
      <c r="J32" s="20" t="s">
        <v>62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2.5" customHeight="1">
      <c r="A33" s="21" t="s">
        <v>153</v>
      </c>
      <c r="B33" s="22" t="s">
        <v>44</v>
      </c>
      <c r="C33" s="22" t="s">
        <v>154</v>
      </c>
      <c r="D33" s="23">
        <v>7.0</v>
      </c>
      <c r="E33" s="29" t="s">
        <v>25</v>
      </c>
      <c r="F33" s="22" t="s">
        <v>14</v>
      </c>
      <c r="G33" s="22" t="s">
        <v>46</v>
      </c>
      <c r="H33" s="23">
        <v>1058.0</v>
      </c>
      <c r="I33" s="25" t="s">
        <v>16</v>
      </c>
      <c r="J33" s="26" t="s">
        <v>62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2.5" customHeight="1">
      <c r="A34" s="15" t="s">
        <v>155</v>
      </c>
      <c r="B34" s="16" t="s">
        <v>156</v>
      </c>
      <c r="C34" s="16" t="s">
        <v>157</v>
      </c>
      <c r="D34" s="17">
        <v>7.0</v>
      </c>
      <c r="E34" s="27" t="s">
        <v>25</v>
      </c>
      <c r="F34" s="16" t="s">
        <v>14</v>
      </c>
      <c r="G34" s="16" t="s">
        <v>15</v>
      </c>
      <c r="H34" s="17">
        <v>1058.0</v>
      </c>
      <c r="I34" s="28" t="s">
        <v>16</v>
      </c>
      <c r="J34" s="20" t="s">
        <v>62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2.5" customHeight="1">
      <c r="A35" s="21" t="s">
        <v>158</v>
      </c>
      <c r="B35" s="22" t="s">
        <v>159</v>
      </c>
      <c r="C35" s="22" t="s">
        <v>160</v>
      </c>
      <c r="D35" s="23">
        <v>7.0</v>
      </c>
      <c r="E35" s="24" t="s">
        <v>13</v>
      </c>
      <c r="F35" s="22" t="s">
        <v>14</v>
      </c>
      <c r="G35" s="22" t="s">
        <v>15</v>
      </c>
      <c r="H35" s="23">
        <v>1058.0</v>
      </c>
      <c r="I35" s="25" t="s">
        <v>16</v>
      </c>
      <c r="J35" s="26" t="s">
        <v>62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2.5" customHeight="1">
      <c r="A36" s="15" t="s">
        <v>161</v>
      </c>
      <c r="B36" s="16" t="s">
        <v>162</v>
      </c>
      <c r="C36" s="16" t="s">
        <v>163</v>
      </c>
      <c r="D36" s="17">
        <v>7.0</v>
      </c>
      <c r="E36" s="27" t="s">
        <v>25</v>
      </c>
      <c r="F36" s="16" t="s">
        <v>14</v>
      </c>
      <c r="G36" s="16" t="s">
        <v>15</v>
      </c>
      <c r="H36" s="17">
        <v>1110.0</v>
      </c>
      <c r="I36" s="19" t="s">
        <v>61</v>
      </c>
      <c r="J36" s="20" t="s">
        <v>62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2.5" customHeight="1">
      <c r="A37" s="21" t="s">
        <v>164</v>
      </c>
      <c r="B37" s="22" t="s">
        <v>165</v>
      </c>
      <c r="C37" s="22" t="s">
        <v>166</v>
      </c>
      <c r="D37" s="23">
        <v>7.0</v>
      </c>
      <c r="E37" s="24" t="s">
        <v>13</v>
      </c>
      <c r="F37" s="22" t="s">
        <v>14</v>
      </c>
      <c r="G37" s="22" t="s">
        <v>15</v>
      </c>
      <c r="H37" s="23">
        <v>1111.0</v>
      </c>
      <c r="I37" s="30" t="s">
        <v>61</v>
      </c>
      <c r="J37" s="26" t="s">
        <v>62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2.5" customHeight="1">
      <c r="A38" s="15" t="s">
        <v>167</v>
      </c>
      <c r="B38" s="16" t="s">
        <v>168</v>
      </c>
      <c r="C38" s="16" t="s">
        <v>169</v>
      </c>
      <c r="D38" s="17">
        <v>7.0</v>
      </c>
      <c r="E38" s="18" t="s">
        <v>13</v>
      </c>
      <c r="F38" s="16" t="s">
        <v>14</v>
      </c>
      <c r="G38" s="16" t="s">
        <v>15</v>
      </c>
      <c r="H38" s="17">
        <v>1058.0</v>
      </c>
      <c r="I38" s="28" t="s">
        <v>16</v>
      </c>
      <c r="J38" s="20" t="s">
        <v>62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2.5" customHeight="1">
      <c r="A39" s="21" t="s">
        <v>170</v>
      </c>
      <c r="B39" s="22" t="s">
        <v>171</v>
      </c>
      <c r="C39" s="22" t="s">
        <v>52</v>
      </c>
      <c r="D39" s="23">
        <v>7.0</v>
      </c>
      <c r="E39" s="24" t="s">
        <v>13</v>
      </c>
      <c r="F39" s="22" t="s">
        <v>14</v>
      </c>
      <c r="G39" s="22" t="s">
        <v>172</v>
      </c>
      <c r="H39" s="23">
        <v>1109.0</v>
      </c>
      <c r="I39" s="30" t="s">
        <v>61</v>
      </c>
      <c r="J39" s="26" t="s">
        <v>62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2.5" customHeight="1">
      <c r="A40" s="15" t="s">
        <v>173</v>
      </c>
      <c r="B40" s="16" t="s">
        <v>174</v>
      </c>
      <c r="C40" s="16" t="s">
        <v>175</v>
      </c>
      <c r="D40" s="17">
        <v>7.0</v>
      </c>
      <c r="E40" s="27" t="s">
        <v>25</v>
      </c>
      <c r="F40" s="16" t="s">
        <v>14</v>
      </c>
      <c r="G40" s="16" t="s">
        <v>15</v>
      </c>
      <c r="H40" s="17">
        <v>1112.0</v>
      </c>
      <c r="I40" s="19" t="s">
        <v>61</v>
      </c>
      <c r="J40" s="20" t="s">
        <v>62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2.5" customHeight="1">
      <c r="A41" s="21" t="s">
        <v>176</v>
      </c>
      <c r="B41" s="22" t="s">
        <v>177</v>
      </c>
      <c r="C41" s="22" t="s">
        <v>178</v>
      </c>
      <c r="D41" s="23">
        <v>7.0</v>
      </c>
      <c r="E41" s="29" t="s">
        <v>25</v>
      </c>
      <c r="F41" s="22" t="s">
        <v>14</v>
      </c>
      <c r="G41" s="22" t="s">
        <v>29</v>
      </c>
      <c r="H41" s="23">
        <v>1058.0</v>
      </c>
      <c r="I41" s="25" t="s">
        <v>16</v>
      </c>
      <c r="J41" s="26" t="s">
        <v>62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2.5" customHeight="1">
      <c r="A42" s="15" t="s">
        <v>179</v>
      </c>
      <c r="B42" s="16" t="s">
        <v>180</v>
      </c>
      <c r="C42" s="16" t="s">
        <v>181</v>
      </c>
      <c r="D42" s="17">
        <v>7.0</v>
      </c>
      <c r="E42" s="27" t="s">
        <v>25</v>
      </c>
      <c r="F42" s="16" t="s">
        <v>14</v>
      </c>
      <c r="G42" s="16" t="s">
        <v>21</v>
      </c>
      <c r="H42" s="17">
        <v>1107.0</v>
      </c>
      <c r="I42" s="19" t="s">
        <v>61</v>
      </c>
      <c r="J42" s="20" t="s">
        <v>62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2.5" customHeight="1">
      <c r="A43" s="21" t="s">
        <v>182</v>
      </c>
      <c r="B43" s="22" t="s">
        <v>183</v>
      </c>
      <c r="C43" s="22" t="s">
        <v>184</v>
      </c>
      <c r="D43" s="23">
        <v>7.0</v>
      </c>
      <c r="E43" s="24" t="s">
        <v>13</v>
      </c>
      <c r="F43" s="22" t="s">
        <v>14</v>
      </c>
      <c r="G43" s="22" t="s">
        <v>15</v>
      </c>
      <c r="H43" s="23">
        <v>1110.0</v>
      </c>
      <c r="I43" s="30" t="s">
        <v>61</v>
      </c>
      <c r="J43" s="26" t="s">
        <v>62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2.5" customHeight="1">
      <c r="A44" s="15" t="s">
        <v>185</v>
      </c>
      <c r="B44" s="16" t="s">
        <v>186</v>
      </c>
      <c r="C44" s="16" t="s">
        <v>187</v>
      </c>
      <c r="D44" s="17">
        <v>7.0</v>
      </c>
      <c r="E44" s="18" t="s">
        <v>13</v>
      </c>
      <c r="F44" s="16" t="s">
        <v>14</v>
      </c>
      <c r="G44" s="16" t="s">
        <v>15</v>
      </c>
      <c r="H44" s="17">
        <v>1108.0</v>
      </c>
      <c r="I44" s="19" t="s">
        <v>61</v>
      </c>
      <c r="J44" s="20" t="s">
        <v>62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2.5" customHeight="1">
      <c r="A45" s="21" t="s">
        <v>188</v>
      </c>
      <c r="B45" s="22" t="s">
        <v>189</v>
      </c>
      <c r="C45" s="22" t="s">
        <v>190</v>
      </c>
      <c r="D45" s="23">
        <v>7.0</v>
      </c>
      <c r="E45" s="29" t="s">
        <v>25</v>
      </c>
      <c r="F45" s="22" t="s">
        <v>14</v>
      </c>
      <c r="G45" s="22" t="s">
        <v>29</v>
      </c>
      <c r="H45" s="23">
        <v>1058.0</v>
      </c>
      <c r="I45" s="25" t="s">
        <v>16</v>
      </c>
      <c r="J45" s="26" t="s">
        <v>62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2.5" customHeight="1">
      <c r="A46" s="15" t="s">
        <v>191</v>
      </c>
      <c r="B46" s="16" t="s">
        <v>192</v>
      </c>
      <c r="C46" s="16" t="s">
        <v>193</v>
      </c>
      <c r="D46" s="17">
        <v>7.0</v>
      </c>
      <c r="E46" s="18" t="s">
        <v>13</v>
      </c>
      <c r="F46" s="16" t="s">
        <v>14</v>
      </c>
      <c r="G46" s="16" t="s">
        <v>15</v>
      </c>
      <c r="H46" s="17">
        <v>1058.0</v>
      </c>
      <c r="I46" s="28" t="s">
        <v>16</v>
      </c>
      <c r="J46" s="20" t="s">
        <v>62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2.5" customHeight="1">
      <c r="A47" s="21" t="s">
        <v>194</v>
      </c>
      <c r="B47" s="22" t="s">
        <v>195</v>
      </c>
      <c r="C47" s="22" t="s">
        <v>196</v>
      </c>
      <c r="D47" s="23">
        <v>7.0</v>
      </c>
      <c r="E47" s="24" t="s">
        <v>13</v>
      </c>
      <c r="F47" s="22" t="s">
        <v>14</v>
      </c>
      <c r="G47" s="22" t="s">
        <v>15</v>
      </c>
      <c r="H47" s="23">
        <v>1058.0</v>
      </c>
      <c r="I47" s="25" t="s">
        <v>16</v>
      </c>
      <c r="J47" s="26" t="s">
        <v>62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2.5" customHeight="1">
      <c r="A48" s="15" t="s">
        <v>197</v>
      </c>
      <c r="B48" s="16" t="s">
        <v>198</v>
      </c>
      <c r="C48" s="16" t="s">
        <v>199</v>
      </c>
      <c r="D48" s="17">
        <v>7.0</v>
      </c>
      <c r="E48" s="18" t="s">
        <v>13</v>
      </c>
      <c r="F48" s="16" t="s">
        <v>14</v>
      </c>
      <c r="G48" s="16" t="s">
        <v>15</v>
      </c>
      <c r="H48" s="17">
        <v>1111.0</v>
      </c>
      <c r="I48" s="19" t="s">
        <v>61</v>
      </c>
      <c r="J48" s="20" t="s">
        <v>62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2.5" customHeight="1">
      <c r="A49" s="21" t="s">
        <v>200</v>
      </c>
      <c r="B49" s="22" t="s">
        <v>201</v>
      </c>
      <c r="C49" s="22" t="s">
        <v>202</v>
      </c>
      <c r="D49" s="23">
        <v>7.0</v>
      </c>
      <c r="E49" s="24" t="s">
        <v>13</v>
      </c>
      <c r="F49" s="22" t="s">
        <v>14</v>
      </c>
      <c r="G49" s="22" t="s">
        <v>15</v>
      </c>
      <c r="H49" s="23">
        <v>1110.0</v>
      </c>
      <c r="I49" s="30" t="s">
        <v>61</v>
      </c>
      <c r="J49" s="26" t="s">
        <v>62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2.5" customHeight="1">
      <c r="A50" s="15" t="s">
        <v>203</v>
      </c>
      <c r="B50" s="16" t="s">
        <v>204</v>
      </c>
      <c r="C50" s="16" t="s">
        <v>205</v>
      </c>
      <c r="D50" s="17">
        <v>7.0</v>
      </c>
      <c r="E50" s="18" t="s">
        <v>13</v>
      </c>
      <c r="F50" s="16" t="s">
        <v>14</v>
      </c>
      <c r="G50" s="16" t="s">
        <v>15</v>
      </c>
      <c r="H50" s="17">
        <v>1108.0</v>
      </c>
      <c r="I50" s="19" t="s">
        <v>61</v>
      </c>
      <c r="J50" s="20" t="s">
        <v>62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2.5" customHeight="1">
      <c r="A51" s="21" t="s">
        <v>206</v>
      </c>
      <c r="B51" s="22" t="s">
        <v>207</v>
      </c>
      <c r="C51" s="22" t="s">
        <v>208</v>
      </c>
      <c r="D51" s="23">
        <v>7.0</v>
      </c>
      <c r="E51" s="24" t="s">
        <v>13</v>
      </c>
      <c r="F51" s="22" t="s">
        <v>53</v>
      </c>
      <c r="G51" s="22" t="s">
        <v>209</v>
      </c>
      <c r="H51" s="23">
        <v>1058.0</v>
      </c>
      <c r="I51" s="25" t="s">
        <v>16</v>
      </c>
      <c r="J51" s="26" t="s">
        <v>62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2.5" customHeight="1">
      <c r="A52" s="15" t="s">
        <v>210</v>
      </c>
      <c r="B52" s="16" t="s">
        <v>211</v>
      </c>
      <c r="C52" s="16" t="s">
        <v>212</v>
      </c>
      <c r="D52" s="17">
        <v>7.0</v>
      </c>
      <c r="E52" s="18" t="s">
        <v>13</v>
      </c>
      <c r="F52" s="16" t="s">
        <v>14</v>
      </c>
      <c r="G52" s="16" t="s">
        <v>15</v>
      </c>
      <c r="H52" s="17">
        <v>1058.0</v>
      </c>
      <c r="I52" s="28" t="s">
        <v>16</v>
      </c>
      <c r="J52" s="20" t="s">
        <v>62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2.5" customHeight="1">
      <c r="A53" s="21" t="s">
        <v>213</v>
      </c>
      <c r="B53" s="22" t="s">
        <v>214</v>
      </c>
      <c r="C53" s="22" t="s">
        <v>215</v>
      </c>
      <c r="D53" s="23">
        <v>7.0</v>
      </c>
      <c r="E53" s="29" t="s">
        <v>25</v>
      </c>
      <c r="F53" s="22" t="s">
        <v>14</v>
      </c>
      <c r="G53" s="22" t="s">
        <v>29</v>
      </c>
      <c r="H53" s="23">
        <v>1110.0</v>
      </c>
      <c r="I53" s="30" t="s">
        <v>61</v>
      </c>
      <c r="J53" s="26" t="s">
        <v>62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2.5" customHeight="1">
      <c r="A54" s="15" t="s">
        <v>216</v>
      </c>
      <c r="B54" s="16" t="s">
        <v>217</v>
      </c>
      <c r="C54" s="16" t="s">
        <v>218</v>
      </c>
      <c r="D54" s="17">
        <v>7.0</v>
      </c>
      <c r="E54" s="18" t="s">
        <v>13</v>
      </c>
      <c r="F54" s="16" t="s">
        <v>14</v>
      </c>
      <c r="G54" s="16" t="s">
        <v>29</v>
      </c>
      <c r="H54" s="17">
        <v>1110.0</v>
      </c>
      <c r="I54" s="19" t="s">
        <v>61</v>
      </c>
      <c r="J54" s="20" t="s">
        <v>62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2.5" customHeight="1">
      <c r="A55" s="21" t="s">
        <v>219</v>
      </c>
      <c r="B55" s="22" t="s">
        <v>220</v>
      </c>
      <c r="C55" s="22" t="s">
        <v>221</v>
      </c>
      <c r="D55" s="23">
        <v>7.0</v>
      </c>
      <c r="E55" s="24" t="s">
        <v>13</v>
      </c>
      <c r="F55" s="22" t="s">
        <v>14</v>
      </c>
      <c r="G55" s="22" t="s">
        <v>15</v>
      </c>
      <c r="H55" s="23">
        <v>1058.0</v>
      </c>
      <c r="I55" s="25" t="s">
        <v>16</v>
      </c>
      <c r="J55" s="26" t="s">
        <v>62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2.5" customHeight="1">
      <c r="A56" s="15" t="s">
        <v>222</v>
      </c>
      <c r="B56" s="16" t="s">
        <v>223</v>
      </c>
      <c r="C56" s="16" t="s">
        <v>224</v>
      </c>
      <c r="D56" s="17">
        <v>7.0</v>
      </c>
      <c r="E56" s="18" t="s">
        <v>13</v>
      </c>
      <c r="F56" s="16" t="s">
        <v>14</v>
      </c>
      <c r="G56" s="16" t="s">
        <v>15</v>
      </c>
      <c r="H56" s="17">
        <v>1058.0</v>
      </c>
      <c r="I56" s="28" t="s">
        <v>16</v>
      </c>
      <c r="J56" s="20" t="s">
        <v>62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2.5" customHeight="1">
      <c r="A57" s="21" t="s">
        <v>225</v>
      </c>
      <c r="B57" s="22" t="s">
        <v>226</v>
      </c>
      <c r="C57" s="22" t="s">
        <v>227</v>
      </c>
      <c r="D57" s="23">
        <v>7.0</v>
      </c>
      <c r="E57" s="24" t="s">
        <v>13</v>
      </c>
      <c r="F57" s="22" t="s">
        <v>14</v>
      </c>
      <c r="G57" s="22" t="s">
        <v>15</v>
      </c>
      <c r="H57" s="23">
        <v>1111.0</v>
      </c>
      <c r="I57" s="30" t="s">
        <v>61</v>
      </c>
      <c r="J57" s="26" t="s">
        <v>62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2.5" customHeight="1">
      <c r="A58" s="15" t="s">
        <v>228</v>
      </c>
      <c r="B58" s="16" t="s">
        <v>229</v>
      </c>
      <c r="C58" s="16" t="s">
        <v>230</v>
      </c>
      <c r="D58" s="17">
        <v>7.0</v>
      </c>
      <c r="E58" s="18" t="s">
        <v>13</v>
      </c>
      <c r="F58" s="16" t="s">
        <v>14</v>
      </c>
      <c r="G58" s="16" t="s">
        <v>15</v>
      </c>
      <c r="H58" s="17">
        <v>1110.0</v>
      </c>
      <c r="I58" s="19" t="s">
        <v>61</v>
      </c>
      <c r="J58" s="20" t="s">
        <v>62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2.5" customHeight="1">
      <c r="A59" s="21" t="s">
        <v>231</v>
      </c>
      <c r="B59" s="22" t="s">
        <v>232</v>
      </c>
      <c r="C59" s="22" t="s">
        <v>233</v>
      </c>
      <c r="D59" s="23">
        <v>7.0</v>
      </c>
      <c r="E59" s="24" t="s">
        <v>13</v>
      </c>
      <c r="F59" s="22" t="s">
        <v>14</v>
      </c>
      <c r="G59" s="22" t="s">
        <v>15</v>
      </c>
      <c r="H59" s="23">
        <v>1058.0</v>
      </c>
      <c r="I59" s="25" t="s">
        <v>16</v>
      </c>
      <c r="J59" s="26" t="s">
        <v>62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2.5" customHeight="1">
      <c r="A60" s="15" t="s">
        <v>234</v>
      </c>
      <c r="B60" s="16" t="s">
        <v>235</v>
      </c>
      <c r="C60" s="16" t="s">
        <v>169</v>
      </c>
      <c r="D60" s="17">
        <v>7.0</v>
      </c>
      <c r="E60" s="18" t="s">
        <v>13</v>
      </c>
      <c r="F60" s="16" t="s">
        <v>14</v>
      </c>
      <c r="G60" s="16" t="s">
        <v>15</v>
      </c>
      <c r="H60" s="17">
        <v>1058.0</v>
      </c>
      <c r="I60" s="28" t="s">
        <v>16</v>
      </c>
      <c r="J60" s="20" t="s">
        <v>62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22.5" customHeight="1">
      <c r="A61" s="31" t="s">
        <v>236</v>
      </c>
      <c r="B61" s="32" t="s">
        <v>237</v>
      </c>
      <c r="C61" s="32" t="s">
        <v>238</v>
      </c>
      <c r="D61" s="33">
        <v>7.0</v>
      </c>
      <c r="E61" s="34" t="s">
        <v>25</v>
      </c>
      <c r="F61" s="32" t="s">
        <v>14</v>
      </c>
      <c r="G61" s="32" t="s">
        <v>46</v>
      </c>
      <c r="H61" s="33">
        <v>1058.0</v>
      </c>
      <c r="I61" s="35" t="s">
        <v>16</v>
      </c>
      <c r="J61" s="36" t="s">
        <v>62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ataValidations>
    <dataValidation type="list" allowBlank="1" showDropDown="1" showErrorMessage="1" sqref="E2:E61">
      <formula1>"M,F"</formula1>
    </dataValidation>
    <dataValidation type="list" allowBlank="1" showDropDown="1" showErrorMessage="1" sqref="I2:I61">
      <formula1>"000325,000329"</formula1>
    </dataValidation>
    <dataValidation type="custom" allowBlank="1" showDropDown="1" sqref="D2:D61 H2:H61">
      <formula1>AND(ISNUMBER(D2),(NOT(OR(NOT(ISERROR(DATEVALUE(D2))), AND(ISNUMBER(D2), LEFT(CELL("format", D2))="D")))))</formula1>
    </dataValidation>
    <dataValidation allowBlank="1" showDropDown="1" sqref="A2:C61 F2:G61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3" t="s">
        <v>239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2.5" customHeight="1">
      <c r="A2" s="15" t="s">
        <v>240</v>
      </c>
      <c r="B2" s="16" t="s">
        <v>241</v>
      </c>
      <c r="C2" s="16" t="s">
        <v>242</v>
      </c>
      <c r="D2" s="17">
        <v>7.0</v>
      </c>
      <c r="E2" s="18" t="s">
        <v>25</v>
      </c>
      <c r="F2" s="16" t="s">
        <v>14</v>
      </c>
      <c r="G2" s="16" t="s">
        <v>15</v>
      </c>
      <c r="H2" s="17">
        <v>1073.0</v>
      </c>
      <c r="I2" s="19" t="s">
        <v>16</v>
      </c>
      <c r="J2" s="20" t="s">
        <v>243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21" t="s">
        <v>244</v>
      </c>
      <c r="B3" s="22" t="s">
        <v>245</v>
      </c>
      <c r="C3" s="22" t="s">
        <v>246</v>
      </c>
      <c r="D3" s="23">
        <v>7.0</v>
      </c>
      <c r="E3" s="24" t="s">
        <v>25</v>
      </c>
      <c r="F3" s="22" t="s">
        <v>14</v>
      </c>
      <c r="G3" s="22" t="s">
        <v>15</v>
      </c>
      <c r="H3" s="23">
        <v>1154.0</v>
      </c>
      <c r="I3" s="25" t="s">
        <v>61</v>
      </c>
      <c r="J3" s="26" t="s">
        <v>243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15" t="s">
        <v>247</v>
      </c>
      <c r="B4" s="16" t="s">
        <v>248</v>
      </c>
      <c r="C4" s="16" t="s">
        <v>249</v>
      </c>
      <c r="D4" s="17">
        <v>7.0</v>
      </c>
      <c r="E4" s="18" t="s">
        <v>25</v>
      </c>
      <c r="F4" s="16" t="s">
        <v>14</v>
      </c>
      <c r="G4" s="16" t="s">
        <v>15</v>
      </c>
      <c r="H4" s="17">
        <v>1151.0</v>
      </c>
      <c r="I4" s="28" t="s">
        <v>61</v>
      </c>
      <c r="J4" s="20" t="s">
        <v>243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21" t="s">
        <v>250</v>
      </c>
      <c r="B5" s="22" t="s">
        <v>251</v>
      </c>
      <c r="C5" s="22" t="s">
        <v>252</v>
      </c>
      <c r="D5" s="23">
        <v>7.0</v>
      </c>
      <c r="E5" s="24" t="s">
        <v>25</v>
      </c>
      <c r="F5" s="22" t="s">
        <v>14</v>
      </c>
      <c r="G5" s="22" t="s">
        <v>15</v>
      </c>
      <c r="H5" s="23">
        <v>1073.0</v>
      </c>
      <c r="I5" s="30" t="s">
        <v>16</v>
      </c>
      <c r="J5" s="26" t="s">
        <v>243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15" t="s">
        <v>253</v>
      </c>
      <c r="B6" s="16" t="s">
        <v>254</v>
      </c>
      <c r="C6" s="16" t="s">
        <v>255</v>
      </c>
      <c r="D6" s="17">
        <v>7.0</v>
      </c>
      <c r="E6" s="27" t="s">
        <v>13</v>
      </c>
      <c r="F6" s="16" t="s">
        <v>14</v>
      </c>
      <c r="G6" s="16" t="s">
        <v>15</v>
      </c>
      <c r="H6" s="17">
        <v>1151.0</v>
      </c>
      <c r="I6" s="28" t="s">
        <v>61</v>
      </c>
      <c r="J6" s="20" t="s">
        <v>243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21" t="s">
        <v>256</v>
      </c>
      <c r="B7" s="22" t="s">
        <v>257</v>
      </c>
      <c r="C7" s="22" t="s">
        <v>258</v>
      </c>
      <c r="D7" s="23">
        <v>7.0</v>
      </c>
      <c r="E7" s="24" t="s">
        <v>25</v>
      </c>
      <c r="F7" s="22" t="s">
        <v>14</v>
      </c>
      <c r="G7" s="22" t="s">
        <v>46</v>
      </c>
      <c r="H7" s="23">
        <v>1073.0</v>
      </c>
      <c r="I7" s="30" t="s">
        <v>16</v>
      </c>
      <c r="J7" s="26" t="s">
        <v>243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15" t="s">
        <v>259</v>
      </c>
      <c r="B8" s="16" t="s">
        <v>260</v>
      </c>
      <c r="C8" s="16" t="s">
        <v>261</v>
      </c>
      <c r="D8" s="17">
        <v>7.0</v>
      </c>
      <c r="E8" s="27" t="s">
        <v>13</v>
      </c>
      <c r="F8" s="16" t="s">
        <v>14</v>
      </c>
      <c r="G8" s="16" t="s">
        <v>15</v>
      </c>
      <c r="H8" s="17">
        <v>1073.0</v>
      </c>
      <c r="I8" s="19" t="s">
        <v>16</v>
      </c>
      <c r="J8" s="20" t="s">
        <v>243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21" t="s">
        <v>262</v>
      </c>
      <c r="B9" s="22" t="s">
        <v>263</v>
      </c>
      <c r="C9" s="22" t="s">
        <v>264</v>
      </c>
      <c r="D9" s="23">
        <v>7.0</v>
      </c>
      <c r="E9" s="29" t="s">
        <v>13</v>
      </c>
      <c r="F9" s="22" t="s">
        <v>14</v>
      </c>
      <c r="G9" s="22" t="s">
        <v>15</v>
      </c>
      <c r="H9" s="23">
        <v>1151.0</v>
      </c>
      <c r="I9" s="25" t="s">
        <v>61</v>
      </c>
      <c r="J9" s="26" t="s">
        <v>243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15" t="s">
        <v>265</v>
      </c>
      <c r="B10" s="16" t="s">
        <v>266</v>
      </c>
      <c r="C10" s="16" t="s">
        <v>267</v>
      </c>
      <c r="D10" s="17">
        <v>7.0</v>
      </c>
      <c r="E10" s="18" t="s">
        <v>25</v>
      </c>
      <c r="F10" s="16" t="s">
        <v>14</v>
      </c>
      <c r="G10" s="16" t="s">
        <v>15</v>
      </c>
      <c r="H10" s="17">
        <v>1073.0</v>
      </c>
      <c r="I10" s="19" t="s">
        <v>16</v>
      </c>
      <c r="J10" s="20" t="s">
        <v>243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21" t="s">
        <v>268</v>
      </c>
      <c r="B11" s="22" t="s">
        <v>269</v>
      </c>
      <c r="C11" s="22" t="s">
        <v>270</v>
      </c>
      <c r="D11" s="23">
        <v>7.0</v>
      </c>
      <c r="E11" s="29" t="s">
        <v>13</v>
      </c>
      <c r="F11" s="22" t="s">
        <v>14</v>
      </c>
      <c r="G11" s="22" t="s">
        <v>15</v>
      </c>
      <c r="H11" s="23">
        <v>1073.0</v>
      </c>
      <c r="I11" s="30" t="s">
        <v>16</v>
      </c>
      <c r="J11" s="26" t="s">
        <v>243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15" t="s">
        <v>271</v>
      </c>
      <c r="B12" s="16" t="s">
        <v>272</v>
      </c>
      <c r="C12" s="16" t="s">
        <v>273</v>
      </c>
      <c r="D12" s="17">
        <v>7.0</v>
      </c>
      <c r="E12" s="18" t="s">
        <v>25</v>
      </c>
      <c r="F12" s="16" t="s">
        <v>14</v>
      </c>
      <c r="G12" s="16" t="s">
        <v>15</v>
      </c>
      <c r="H12" s="17">
        <v>1149.0</v>
      </c>
      <c r="I12" s="28" t="s">
        <v>61</v>
      </c>
      <c r="J12" s="20" t="s">
        <v>243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21" t="s">
        <v>274</v>
      </c>
      <c r="B13" s="22" t="s">
        <v>275</v>
      </c>
      <c r="C13" s="22" t="s">
        <v>276</v>
      </c>
      <c r="D13" s="23">
        <v>7.0</v>
      </c>
      <c r="E13" s="29" t="s">
        <v>13</v>
      </c>
      <c r="F13" s="22" t="s">
        <v>14</v>
      </c>
      <c r="G13" s="22" t="s">
        <v>15</v>
      </c>
      <c r="H13" s="23">
        <v>1152.0</v>
      </c>
      <c r="I13" s="25" t="s">
        <v>61</v>
      </c>
      <c r="J13" s="26" t="s">
        <v>243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15" t="s">
        <v>277</v>
      </c>
      <c r="B14" s="16" t="s">
        <v>278</v>
      </c>
      <c r="C14" s="16" t="s">
        <v>279</v>
      </c>
      <c r="D14" s="17">
        <v>7.0</v>
      </c>
      <c r="E14" s="18" t="s">
        <v>25</v>
      </c>
      <c r="F14" s="16" t="s">
        <v>14</v>
      </c>
      <c r="G14" s="16" t="s">
        <v>15</v>
      </c>
      <c r="H14" s="17">
        <v>1150.0</v>
      </c>
      <c r="I14" s="28" t="s">
        <v>61</v>
      </c>
      <c r="J14" s="20" t="s">
        <v>243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21" t="s">
        <v>280</v>
      </c>
      <c r="B15" s="22" t="s">
        <v>281</v>
      </c>
      <c r="C15" s="22" t="s">
        <v>282</v>
      </c>
      <c r="D15" s="23">
        <v>7.0</v>
      </c>
      <c r="E15" s="24" t="s">
        <v>25</v>
      </c>
      <c r="F15" s="22" t="s">
        <v>14</v>
      </c>
      <c r="G15" s="22" t="s">
        <v>15</v>
      </c>
      <c r="H15" s="23">
        <v>1073.0</v>
      </c>
      <c r="I15" s="30" t="s">
        <v>16</v>
      </c>
      <c r="J15" s="26" t="s">
        <v>243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15" t="s">
        <v>283</v>
      </c>
      <c r="B16" s="16" t="s">
        <v>284</v>
      </c>
      <c r="C16" s="16" t="s">
        <v>285</v>
      </c>
      <c r="D16" s="17">
        <v>7.0</v>
      </c>
      <c r="E16" s="18" t="s">
        <v>25</v>
      </c>
      <c r="F16" s="16" t="s">
        <v>53</v>
      </c>
      <c r="G16" s="16" t="s">
        <v>286</v>
      </c>
      <c r="H16" s="17">
        <v>1152.0</v>
      </c>
      <c r="I16" s="28" t="s">
        <v>61</v>
      </c>
      <c r="J16" s="20" t="s">
        <v>243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21" t="s">
        <v>287</v>
      </c>
      <c r="B17" s="22" t="s">
        <v>288</v>
      </c>
      <c r="C17" s="22" t="s">
        <v>238</v>
      </c>
      <c r="D17" s="23">
        <v>7.0</v>
      </c>
      <c r="E17" s="24" t="s">
        <v>25</v>
      </c>
      <c r="F17" s="22" t="s">
        <v>14</v>
      </c>
      <c r="G17" s="22" t="s">
        <v>15</v>
      </c>
      <c r="H17" s="23">
        <v>1073.0</v>
      </c>
      <c r="I17" s="30" t="s">
        <v>16</v>
      </c>
      <c r="J17" s="26" t="s">
        <v>243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15" t="s">
        <v>289</v>
      </c>
      <c r="B18" s="16" t="s">
        <v>290</v>
      </c>
      <c r="C18" s="16" t="s">
        <v>147</v>
      </c>
      <c r="D18" s="17">
        <v>7.0</v>
      </c>
      <c r="E18" s="18" t="s">
        <v>25</v>
      </c>
      <c r="F18" s="16" t="s">
        <v>14</v>
      </c>
      <c r="G18" s="16" t="s">
        <v>15</v>
      </c>
      <c r="H18" s="17">
        <v>1073.0</v>
      </c>
      <c r="I18" s="19" t="s">
        <v>16</v>
      </c>
      <c r="J18" s="20" t="s">
        <v>243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21" t="s">
        <v>291</v>
      </c>
      <c r="B19" s="22" t="s">
        <v>292</v>
      </c>
      <c r="C19" s="22" t="s">
        <v>293</v>
      </c>
      <c r="D19" s="23">
        <v>7.0</v>
      </c>
      <c r="E19" s="29" t="s">
        <v>13</v>
      </c>
      <c r="F19" s="22" t="s">
        <v>14</v>
      </c>
      <c r="G19" s="22" t="s">
        <v>15</v>
      </c>
      <c r="H19" s="23">
        <v>1153.0</v>
      </c>
      <c r="I19" s="25" t="s">
        <v>61</v>
      </c>
      <c r="J19" s="26" t="s">
        <v>243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15" t="s">
        <v>294</v>
      </c>
      <c r="B20" s="16" t="s">
        <v>295</v>
      </c>
      <c r="C20" s="16" t="s">
        <v>296</v>
      </c>
      <c r="D20" s="17">
        <v>7.0</v>
      </c>
      <c r="E20" s="18" t="s">
        <v>25</v>
      </c>
      <c r="F20" s="16" t="s">
        <v>14</v>
      </c>
      <c r="G20" s="16" t="s">
        <v>15</v>
      </c>
      <c r="H20" s="17">
        <v>1073.0</v>
      </c>
      <c r="I20" s="19" t="s">
        <v>16</v>
      </c>
      <c r="J20" s="20" t="s">
        <v>243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2.5" customHeight="1">
      <c r="A21" s="21" t="s">
        <v>297</v>
      </c>
      <c r="B21" s="22" t="s">
        <v>298</v>
      </c>
      <c r="C21" s="22" t="s">
        <v>299</v>
      </c>
      <c r="D21" s="23">
        <v>7.0</v>
      </c>
      <c r="E21" s="24" t="s">
        <v>25</v>
      </c>
      <c r="F21" s="22" t="s">
        <v>14</v>
      </c>
      <c r="G21" s="22" t="s">
        <v>46</v>
      </c>
      <c r="H21" s="23">
        <v>1153.0</v>
      </c>
      <c r="I21" s="25" t="s">
        <v>61</v>
      </c>
      <c r="J21" s="26" t="s">
        <v>243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2.5" customHeight="1">
      <c r="A22" s="15" t="s">
        <v>300</v>
      </c>
      <c r="B22" s="16" t="s">
        <v>301</v>
      </c>
      <c r="C22" s="16" t="s">
        <v>302</v>
      </c>
      <c r="D22" s="17">
        <v>7.0</v>
      </c>
      <c r="E22" s="27" t="s">
        <v>13</v>
      </c>
      <c r="F22" s="16" t="s">
        <v>14</v>
      </c>
      <c r="G22" s="16" t="s">
        <v>15</v>
      </c>
      <c r="H22" s="17">
        <v>1154.0</v>
      </c>
      <c r="I22" s="28" t="s">
        <v>61</v>
      </c>
      <c r="J22" s="20" t="s">
        <v>243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2.5" customHeight="1">
      <c r="A23" s="21" t="s">
        <v>303</v>
      </c>
      <c r="B23" s="22" t="s">
        <v>304</v>
      </c>
      <c r="C23" s="22" t="s">
        <v>305</v>
      </c>
      <c r="D23" s="23">
        <v>7.0</v>
      </c>
      <c r="E23" s="24" t="s">
        <v>25</v>
      </c>
      <c r="F23" s="22" t="s">
        <v>14</v>
      </c>
      <c r="G23" s="22" t="s">
        <v>21</v>
      </c>
      <c r="H23" s="23">
        <v>1152.0</v>
      </c>
      <c r="I23" s="25" t="s">
        <v>61</v>
      </c>
      <c r="J23" s="26" t="s">
        <v>243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2.5" customHeight="1">
      <c r="A24" s="15" t="s">
        <v>306</v>
      </c>
      <c r="B24" s="16" t="s">
        <v>307</v>
      </c>
      <c r="C24" s="16" t="s">
        <v>308</v>
      </c>
      <c r="D24" s="17">
        <v>7.0</v>
      </c>
      <c r="E24" s="18" t="s">
        <v>25</v>
      </c>
      <c r="F24" s="16" t="s">
        <v>14</v>
      </c>
      <c r="G24" s="16" t="s">
        <v>15</v>
      </c>
      <c r="H24" s="17">
        <v>1073.0</v>
      </c>
      <c r="I24" s="19" t="s">
        <v>16</v>
      </c>
      <c r="J24" s="20" t="s">
        <v>243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2.5" customHeight="1">
      <c r="A25" s="21" t="s">
        <v>309</v>
      </c>
      <c r="B25" s="22" t="s">
        <v>310</v>
      </c>
      <c r="C25" s="22" t="s">
        <v>311</v>
      </c>
      <c r="D25" s="23">
        <v>7.0</v>
      </c>
      <c r="E25" s="24" t="s">
        <v>25</v>
      </c>
      <c r="F25" s="22" t="s">
        <v>14</v>
      </c>
      <c r="G25" s="22" t="s">
        <v>15</v>
      </c>
      <c r="H25" s="23">
        <v>1073.0</v>
      </c>
      <c r="I25" s="30" t="s">
        <v>16</v>
      </c>
      <c r="J25" s="26" t="s">
        <v>243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2.5" customHeight="1">
      <c r="A26" s="15" t="s">
        <v>312</v>
      </c>
      <c r="B26" s="16" t="s">
        <v>313</v>
      </c>
      <c r="C26" s="16" t="s">
        <v>314</v>
      </c>
      <c r="D26" s="17">
        <v>7.0</v>
      </c>
      <c r="E26" s="27" t="s">
        <v>13</v>
      </c>
      <c r="F26" s="16" t="s">
        <v>14</v>
      </c>
      <c r="G26" s="16" t="s">
        <v>15</v>
      </c>
      <c r="H26" s="17">
        <v>1153.0</v>
      </c>
      <c r="I26" s="28" t="s">
        <v>61</v>
      </c>
      <c r="J26" s="20" t="s">
        <v>243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2.5" customHeight="1">
      <c r="A27" s="21" t="s">
        <v>315</v>
      </c>
      <c r="B27" s="22" t="s">
        <v>316</v>
      </c>
      <c r="C27" s="22" t="s">
        <v>317</v>
      </c>
      <c r="D27" s="23">
        <v>7.0</v>
      </c>
      <c r="E27" s="29" t="s">
        <v>13</v>
      </c>
      <c r="F27" s="22" t="s">
        <v>14</v>
      </c>
      <c r="G27" s="22" t="s">
        <v>15</v>
      </c>
      <c r="H27" s="23">
        <v>1154.0</v>
      </c>
      <c r="I27" s="25" t="s">
        <v>61</v>
      </c>
      <c r="J27" s="26" t="s">
        <v>243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2.5" customHeight="1">
      <c r="A28" s="15" t="s">
        <v>318</v>
      </c>
      <c r="B28" s="16" t="s">
        <v>319</v>
      </c>
      <c r="C28" s="16" t="s">
        <v>320</v>
      </c>
      <c r="D28" s="17">
        <v>7.0</v>
      </c>
      <c r="E28" s="27" t="s">
        <v>13</v>
      </c>
      <c r="F28" s="16" t="s">
        <v>14</v>
      </c>
      <c r="G28" s="16" t="s">
        <v>321</v>
      </c>
      <c r="H28" s="17">
        <v>1148.0</v>
      </c>
      <c r="I28" s="28" t="s">
        <v>61</v>
      </c>
      <c r="J28" s="20" t="s">
        <v>243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2.5" customHeight="1">
      <c r="A29" s="21" t="s">
        <v>322</v>
      </c>
      <c r="B29" s="22" t="s">
        <v>323</v>
      </c>
      <c r="C29" s="22" t="s">
        <v>324</v>
      </c>
      <c r="D29" s="23">
        <v>7.0</v>
      </c>
      <c r="E29" s="24" t="s">
        <v>25</v>
      </c>
      <c r="F29" s="22" t="s">
        <v>53</v>
      </c>
      <c r="G29" s="22" t="s">
        <v>286</v>
      </c>
      <c r="H29" s="23">
        <v>1073.0</v>
      </c>
      <c r="I29" s="30" t="s">
        <v>16</v>
      </c>
      <c r="J29" s="26" t="s">
        <v>243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2.5" customHeight="1">
      <c r="A30" s="15" t="s">
        <v>325</v>
      </c>
      <c r="B30" s="16" t="s">
        <v>326</v>
      </c>
      <c r="C30" s="16" t="s">
        <v>327</v>
      </c>
      <c r="D30" s="17">
        <v>7.0</v>
      </c>
      <c r="E30" s="18" t="s">
        <v>25</v>
      </c>
      <c r="F30" s="16" t="s">
        <v>14</v>
      </c>
      <c r="G30" s="16" t="s">
        <v>15</v>
      </c>
      <c r="H30" s="17">
        <v>1073.0</v>
      </c>
      <c r="I30" s="19" t="s">
        <v>16</v>
      </c>
      <c r="J30" s="20" t="s">
        <v>243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2.5" customHeight="1">
      <c r="A31" s="21" t="s">
        <v>328</v>
      </c>
      <c r="B31" s="22" t="s">
        <v>329</v>
      </c>
      <c r="C31" s="22" t="s">
        <v>330</v>
      </c>
      <c r="D31" s="23">
        <v>7.0</v>
      </c>
      <c r="E31" s="29" t="s">
        <v>13</v>
      </c>
      <c r="F31" s="22" t="s">
        <v>14</v>
      </c>
      <c r="G31" s="22" t="s">
        <v>15</v>
      </c>
      <c r="H31" s="23">
        <v>1152.0</v>
      </c>
      <c r="I31" s="25" t="s">
        <v>61</v>
      </c>
      <c r="J31" s="26" t="s">
        <v>243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2.5" customHeight="1">
      <c r="A32" s="15" t="s">
        <v>331</v>
      </c>
      <c r="B32" s="16" t="s">
        <v>332</v>
      </c>
      <c r="C32" s="16" t="s">
        <v>333</v>
      </c>
      <c r="D32" s="17">
        <v>7.0</v>
      </c>
      <c r="E32" s="18" t="s">
        <v>25</v>
      </c>
      <c r="F32" s="16" t="s">
        <v>53</v>
      </c>
      <c r="G32" s="16" t="s">
        <v>15</v>
      </c>
      <c r="H32" s="17">
        <v>1073.0</v>
      </c>
      <c r="I32" s="19" t="s">
        <v>16</v>
      </c>
      <c r="J32" s="20" t="s">
        <v>243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2.5" customHeight="1">
      <c r="A33" s="21" t="s">
        <v>334</v>
      </c>
      <c r="B33" s="22" t="s">
        <v>335</v>
      </c>
      <c r="C33" s="22" t="s">
        <v>336</v>
      </c>
      <c r="D33" s="23">
        <v>7.0</v>
      </c>
      <c r="E33" s="24" t="s">
        <v>25</v>
      </c>
      <c r="F33" s="22" t="s">
        <v>53</v>
      </c>
      <c r="G33" s="22" t="s">
        <v>15</v>
      </c>
      <c r="H33" s="23">
        <v>1073.0</v>
      </c>
      <c r="I33" s="30" t="s">
        <v>16</v>
      </c>
      <c r="J33" s="26" t="s">
        <v>243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2.5" customHeight="1">
      <c r="A34" s="15" t="s">
        <v>337</v>
      </c>
      <c r="B34" s="16" t="s">
        <v>338</v>
      </c>
      <c r="C34" s="16" t="s">
        <v>339</v>
      </c>
      <c r="D34" s="17">
        <v>7.0</v>
      </c>
      <c r="E34" s="27" t="s">
        <v>13</v>
      </c>
      <c r="F34" s="16" t="s">
        <v>14</v>
      </c>
      <c r="G34" s="16" t="s">
        <v>15</v>
      </c>
      <c r="H34" s="17">
        <v>1148.0</v>
      </c>
      <c r="I34" s="28" t="s">
        <v>61</v>
      </c>
      <c r="J34" s="20" t="s">
        <v>243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2.5" customHeight="1">
      <c r="A35" s="21" t="s">
        <v>340</v>
      </c>
      <c r="B35" s="22" t="s">
        <v>341</v>
      </c>
      <c r="C35" s="22" t="s">
        <v>342</v>
      </c>
      <c r="D35" s="23">
        <v>7.0</v>
      </c>
      <c r="E35" s="24" t="s">
        <v>25</v>
      </c>
      <c r="F35" s="22" t="s">
        <v>14</v>
      </c>
      <c r="G35" s="22" t="s">
        <v>15</v>
      </c>
      <c r="H35" s="23">
        <v>1073.0</v>
      </c>
      <c r="I35" s="30" t="s">
        <v>16</v>
      </c>
      <c r="J35" s="26" t="s">
        <v>243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2.5" customHeight="1">
      <c r="A36" s="15" t="s">
        <v>343</v>
      </c>
      <c r="B36" s="16" t="s">
        <v>344</v>
      </c>
      <c r="C36" s="16" t="s">
        <v>345</v>
      </c>
      <c r="D36" s="17">
        <v>7.0</v>
      </c>
      <c r="E36" s="27" t="s">
        <v>13</v>
      </c>
      <c r="F36" s="16" t="s">
        <v>14</v>
      </c>
      <c r="G36" s="16" t="s">
        <v>15</v>
      </c>
      <c r="H36" s="17">
        <v>1150.0</v>
      </c>
      <c r="I36" s="28" t="s">
        <v>61</v>
      </c>
      <c r="J36" s="20" t="s">
        <v>243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2.5" customHeight="1">
      <c r="A37" s="21" t="s">
        <v>346</v>
      </c>
      <c r="B37" s="22" t="s">
        <v>347</v>
      </c>
      <c r="C37" s="22" t="s">
        <v>348</v>
      </c>
      <c r="D37" s="23">
        <v>7.0</v>
      </c>
      <c r="E37" s="29" t="s">
        <v>13</v>
      </c>
      <c r="F37" s="22" t="s">
        <v>14</v>
      </c>
      <c r="G37" s="22" t="s">
        <v>15</v>
      </c>
      <c r="H37" s="23">
        <v>1151.0</v>
      </c>
      <c r="I37" s="25" t="s">
        <v>61</v>
      </c>
      <c r="J37" s="26" t="s">
        <v>243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2.5" customHeight="1">
      <c r="A38" s="15" t="s">
        <v>349</v>
      </c>
      <c r="B38" s="16" t="s">
        <v>350</v>
      </c>
      <c r="C38" s="16" t="s">
        <v>351</v>
      </c>
      <c r="D38" s="17">
        <v>7.0</v>
      </c>
      <c r="E38" s="18" t="s">
        <v>25</v>
      </c>
      <c r="F38" s="16" t="s">
        <v>14</v>
      </c>
      <c r="G38" s="16" t="s">
        <v>15</v>
      </c>
      <c r="H38" s="17">
        <v>1152.0</v>
      </c>
      <c r="I38" s="28" t="s">
        <v>61</v>
      </c>
      <c r="J38" s="20" t="s">
        <v>243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2.5" customHeight="1">
      <c r="A39" s="21" t="s">
        <v>352</v>
      </c>
      <c r="B39" s="22" t="s">
        <v>353</v>
      </c>
      <c r="C39" s="22" t="s">
        <v>354</v>
      </c>
      <c r="D39" s="23">
        <v>7.0</v>
      </c>
      <c r="E39" s="29" t="s">
        <v>13</v>
      </c>
      <c r="F39" s="22" t="s">
        <v>14</v>
      </c>
      <c r="G39" s="22" t="s">
        <v>15</v>
      </c>
      <c r="H39" s="23">
        <v>1073.0</v>
      </c>
      <c r="I39" s="30" t="s">
        <v>16</v>
      </c>
      <c r="J39" s="26" t="s">
        <v>243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2.5" customHeight="1">
      <c r="A40" s="15" t="s">
        <v>355</v>
      </c>
      <c r="B40" s="16" t="s">
        <v>353</v>
      </c>
      <c r="C40" s="16" t="s">
        <v>356</v>
      </c>
      <c r="D40" s="17">
        <v>7.0</v>
      </c>
      <c r="E40" s="27" t="s">
        <v>13</v>
      </c>
      <c r="F40" s="16" t="s">
        <v>14</v>
      </c>
      <c r="G40" s="16" t="s">
        <v>15</v>
      </c>
      <c r="H40" s="17">
        <v>1073.0</v>
      </c>
      <c r="I40" s="19" t="s">
        <v>16</v>
      </c>
      <c r="J40" s="20" t="s">
        <v>243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2.5" customHeight="1">
      <c r="A41" s="21" t="s">
        <v>357</v>
      </c>
      <c r="B41" s="22" t="s">
        <v>358</v>
      </c>
      <c r="C41" s="22" t="s">
        <v>359</v>
      </c>
      <c r="D41" s="23">
        <v>7.0</v>
      </c>
      <c r="E41" s="24" t="s">
        <v>25</v>
      </c>
      <c r="F41" s="22" t="s">
        <v>14</v>
      </c>
      <c r="G41" s="22" t="s">
        <v>15</v>
      </c>
      <c r="H41" s="23">
        <v>1151.0</v>
      </c>
      <c r="I41" s="25" t="s">
        <v>61</v>
      </c>
      <c r="J41" s="26" t="s">
        <v>243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2.5" customHeight="1">
      <c r="A42" s="15" t="s">
        <v>360</v>
      </c>
      <c r="B42" s="16" t="s">
        <v>361</v>
      </c>
      <c r="C42" s="16" t="s">
        <v>362</v>
      </c>
      <c r="D42" s="17">
        <v>7.0</v>
      </c>
      <c r="E42" s="18" t="s">
        <v>25</v>
      </c>
      <c r="F42" s="16" t="s">
        <v>14</v>
      </c>
      <c r="G42" s="16" t="s">
        <v>15</v>
      </c>
      <c r="H42" s="17">
        <v>1073.0</v>
      </c>
      <c r="I42" s="19" t="s">
        <v>16</v>
      </c>
      <c r="J42" s="20" t="s">
        <v>243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2.5" customHeight="1">
      <c r="A43" s="21" t="s">
        <v>363</v>
      </c>
      <c r="B43" s="22" t="s">
        <v>364</v>
      </c>
      <c r="C43" s="22" t="s">
        <v>365</v>
      </c>
      <c r="D43" s="23">
        <v>7.0</v>
      </c>
      <c r="E43" s="24" t="s">
        <v>25</v>
      </c>
      <c r="F43" s="22" t="s">
        <v>14</v>
      </c>
      <c r="G43" s="22" t="s">
        <v>15</v>
      </c>
      <c r="H43" s="23">
        <v>1073.0</v>
      </c>
      <c r="I43" s="30" t="s">
        <v>16</v>
      </c>
      <c r="J43" s="26" t="s">
        <v>243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2.5" customHeight="1">
      <c r="A44" s="15" t="s">
        <v>366</v>
      </c>
      <c r="B44" s="16" t="s">
        <v>367</v>
      </c>
      <c r="C44" s="16" t="s">
        <v>368</v>
      </c>
      <c r="D44" s="17">
        <v>7.0</v>
      </c>
      <c r="E44" s="27" t="s">
        <v>13</v>
      </c>
      <c r="F44" s="16" t="s">
        <v>53</v>
      </c>
      <c r="G44" s="16" t="s">
        <v>15</v>
      </c>
      <c r="H44" s="17">
        <v>1151.0</v>
      </c>
      <c r="I44" s="28" t="s">
        <v>61</v>
      </c>
      <c r="J44" s="20" t="s">
        <v>243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2.5" customHeight="1">
      <c r="A45" s="21" t="s">
        <v>369</v>
      </c>
      <c r="B45" s="22" t="s">
        <v>370</v>
      </c>
      <c r="C45" s="22" t="s">
        <v>371</v>
      </c>
      <c r="D45" s="23">
        <v>7.0</v>
      </c>
      <c r="E45" s="29" t="s">
        <v>13</v>
      </c>
      <c r="F45" s="22" t="s">
        <v>14</v>
      </c>
      <c r="G45" s="22" t="s">
        <v>15</v>
      </c>
      <c r="H45" s="23">
        <v>1073.0</v>
      </c>
      <c r="I45" s="30" t="s">
        <v>16</v>
      </c>
      <c r="J45" s="26" t="s">
        <v>243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2.5" customHeight="1">
      <c r="A46" s="15" t="s">
        <v>372</v>
      </c>
      <c r="B46" s="16" t="s">
        <v>55</v>
      </c>
      <c r="C46" s="16" t="s">
        <v>373</v>
      </c>
      <c r="D46" s="17">
        <v>7.0</v>
      </c>
      <c r="E46" s="18" t="s">
        <v>25</v>
      </c>
      <c r="F46" s="16" t="s">
        <v>14</v>
      </c>
      <c r="G46" s="16" t="s">
        <v>15</v>
      </c>
      <c r="H46" s="17">
        <v>1073.0</v>
      </c>
      <c r="I46" s="19" t="s">
        <v>16</v>
      </c>
      <c r="J46" s="20" t="s">
        <v>243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2.5" customHeight="1">
      <c r="A47" s="31" t="s">
        <v>374</v>
      </c>
      <c r="B47" s="32" t="s">
        <v>375</v>
      </c>
      <c r="C47" s="32" t="s">
        <v>376</v>
      </c>
      <c r="D47" s="33">
        <v>7.0</v>
      </c>
      <c r="E47" s="34" t="s">
        <v>13</v>
      </c>
      <c r="F47" s="32" t="s">
        <v>53</v>
      </c>
      <c r="G47" s="32" t="s">
        <v>15</v>
      </c>
      <c r="H47" s="33">
        <v>1154.0</v>
      </c>
      <c r="I47" s="35" t="s">
        <v>61</v>
      </c>
      <c r="J47" s="36" t="s">
        <v>243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ataValidations>
    <dataValidation type="list" allowBlank="1" showDropDown="1" showErrorMessage="1" sqref="I2:I47">
      <formula1>"000329,000325"</formula1>
    </dataValidation>
    <dataValidation type="list" allowBlank="1" showDropDown="1" showErrorMessage="1" sqref="E2:E47">
      <formula1>"F,M"</formula1>
    </dataValidation>
    <dataValidation type="custom" allowBlank="1" showDropDown="1" sqref="D2:D47 H2:H47">
      <formula1>AND(ISNUMBER(D2),(NOT(OR(NOT(ISERROR(DATEVALUE(D2))), AND(ISNUMBER(D2), LEFT(CELL("format", D2))="D")))))</formula1>
    </dataValidation>
    <dataValidation allowBlank="1" showDropDown="1" sqref="A2:C47 F2:G47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3" t="s">
        <v>9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2.5" customHeight="1">
      <c r="A2" s="15" t="s">
        <v>377</v>
      </c>
      <c r="B2" s="16" t="s">
        <v>59</v>
      </c>
      <c r="C2" s="16" t="s">
        <v>378</v>
      </c>
      <c r="D2" s="17">
        <v>7.0</v>
      </c>
      <c r="E2" s="18" t="s">
        <v>13</v>
      </c>
      <c r="F2" s="16" t="s">
        <v>53</v>
      </c>
      <c r="G2" s="19" t="s">
        <v>15</v>
      </c>
      <c r="H2" s="17">
        <v>1144.0</v>
      </c>
      <c r="I2" s="37" t="s">
        <v>61</v>
      </c>
      <c r="J2" s="20" t="s">
        <v>379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21" t="s">
        <v>380</v>
      </c>
      <c r="B3" s="22" t="s">
        <v>381</v>
      </c>
      <c r="C3" s="22" t="s">
        <v>382</v>
      </c>
      <c r="D3" s="23">
        <v>7.0</v>
      </c>
      <c r="E3" s="24" t="s">
        <v>13</v>
      </c>
      <c r="F3" s="22" t="s">
        <v>14</v>
      </c>
      <c r="G3" s="30" t="s">
        <v>15</v>
      </c>
      <c r="H3" s="23">
        <v>1016.0</v>
      </c>
      <c r="I3" s="38" t="s">
        <v>16</v>
      </c>
      <c r="J3" s="26" t="s">
        <v>379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15" t="s">
        <v>383</v>
      </c>
      <c r="B4" s="16" t="s">
        <v>384</v>
      </c>
      <c r="C4" s="16" t="s">
        <v>385</v>
      </c>
      <c r="D4" s="17">
        <v>7.0</v>
      </c>
      <c r="E4" s="18" t="s">
        <v>13</v>
      </c>
      <c r="F4" s="16" t="s">
        <v>14</v>
      </c>
      <c r="G4" s="19" t="s">
        <v>15</v>
      </c>
      <c r="H4" s="17">
        <v>1144.0</v>
      </c>
      <c r="I4" s="37" t="s">
        <v>61</v>
      </c>
      <c r="J4" s="20" t="s">
        <v>379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21" t="s">
        <v>386</v>
      </c>
      <c r="B5" s="22" t="s">
        <v>387</v>
      </c>
      <c r="C5" s="22" t="s">
        <v>348</v>
      </c>
      <c r="D5" s="23">
        <v>7.0</v>
      </c>
      <c r="E5" s="24" t="s">
        <v>13</v>
      </c>
      <c r="F5" s="22" t="s">
        <v>14</v>
      </c>
      <c r="G5" s="30" t="s">
        <v>15</v>
      </c>
      <c r="H5" s="23">
        <v>1144.0</v>
      </c>
      <c r="I5" s="39" t="s">
        <v>61</v>
      </c>
      <c r="J5" s="26" t="s">
        <v>379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15" t="s">
        <v>388</v>
      </c>
      <c r="B6" s="16" t="s">
        <v>389</v>
      </c>
      <c r="C6" s="16" t="s">
        <v>390</v>
      </c>
      <c r="D6" s="17">
        <v>7.0</v>
      </c>
      <c r="E6" s="27" t="s">
        <v>25</v>
      </c>
      <c r="F6" s="16" t="s">
        <v>14</v>
      </c>
      <c r="G6" s="19" t="s">
        <v>15</v>
      </c>
      <c r="H6" s="17">
        <v>1016.0</v>
      </c>
      <c r="I6" s="40" t="s">
        <v>16</v>
      </c>
      <c r="J6" s="20" t="s">
        <v>379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21" t="s">
        <v>391</v>
      </c>
      <c r="B7" s="22" t="s">
        <v>392</v>
      </c>
      <c r="C7" s="22" t="s">
        <v>393</v>
      </c>
      <c r="D7" s="23">
        <v>7.0</v>
      </c>
      <c r="E7" s="24" t="s">
        <v>13</v>
      </c>
      <c r="F7" s="22" t="s">
        <v>14</v>
      </c>
      <c r="G7" s="30" t="s">
        <v>15</v>
      </c>
      <c r="H7" s="23">
        <v>1016.0</v>
      </c>
      <c r="I7" s="38" t="s">
        <v>16</v>
      </c>
      <c r="J7" s="26" t="s">
        <v>379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15" t="s">
        <v>394</v>
      </c>
      <c r="B8" s="16" t="s">
        <v>395</v>
      </c>
      <c r="C8" s="16" t="s">
        <v>396</v>
      </c>
      <c r="D8" s="17">
        <v>7.0</v>
      </c>
      <c r="E8" s="27" t="s">
        <v>25</v>
      </c>
      <c r="F8" s="16" t="s">
        <v>14</v>
      </c>
      <c r="G8" s="19" t="s">
        <v>15</v>
      </c>
      <c r="H8" s="17">
        <v>1144.0</v>
      </c>
      <c r="I8" s="37" t="s">
        <v>61</v>
      </c>
      <c r="J8" s="20" t="s">
        <v>379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21" t="s">
        <v>397</v>
      </c>
      <c r="B9" s="22" t="s">
        <v>76</v>
      </c>
      <c r="C9" s="22" t="s">
        <v>398</v>
      </c>
      <c r="D9" s="23">
        <v>7.0</v>
      </c>
      <c r="E9" s="29" t="s">
        <v>25</v>
      </c>
      <c r="F9" s="22" t="s">
        <v>14</v>
      </c>
      <c r="G9" s="30" t="s">
        <v>15</v>
      </c>
      <c r="H9" s="23">
        <v>1141.0</v>
      </c>
      <c r="I9" s="39" t="s">
        <v>61</v>
      </c>
      <c r="J9" s="26" t="s">
        <v>379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15" t="s">
        <v>399</v>
      </c>
      <c r="B10" s="16" t="s">
        <v>400</v>
      </c>
      <c r="C10" s="16" t="s">
        <v>401</v>
      </c>
      <c r="D10" s="17">
        <v>7.0</v>
      </c>
      <c r="E10" s="18" t="s">
        <v>13</v>
      </c>
      <c r="F10" s="16" t="s">
        <v>53</v>
      </c>
      <c r="G10" s="28" t="s">
        <v>286</v>
      </c>
      <c r="H10" s="17">
        <v>1141.0</v>
      </c>
      <c r="I10" s="37" t="s">
        <v>61</v>
      </c>
      <c r="J10" s="20" t="s">
        <v>379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21" t="s">
        <v>402</v>
      </c>
      <c r="B11" s="22" t="s">
        <v>85</v>
      </c>
      <c r="C11" s="22" t="s">
        <v>403</v>
      </c>
      <c r="D11" s="23">
        <v>7.0</v>
      </c>
      <c r="E11" s="24" t="s">
        <v>13</v>
      </c>
      <c r="F11" s="22" t="s">
        <v>14</v>
      </c>
      <c r="G11" s="30" t="s">
        <v>15</v>
      </c>
      <c r="H11" s="23">
        <v>1016.0</v>
      </c>
      <c r="I11" s="38" t="s">
        <v>16</v>
      </c>
      <c r="J11" s="26" t="s">
        <v>379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15" t="s">
        <v>404</v>
      </c>
      <c r="B12" s="16" t="s">
        <v>405</v>
      </c>
      <c r="C12" s="16" t="s">
        <v>406</v>
      </c>
      <c r="D12" s="17">
        <v>7.0</v>
      </c>
      <c r="E12" s="18" t="s">
        <v>13</v>
      </c>
      <c r="F12" s="16" t="s">
        <v>53</v>
      </c>
      <c r="G12" s="19" t="s">
        <v>15</v>
      </c>
      <c r="H12" s="17">
        <v>1016.0</v>
      </c>
      <c r="I12" s="40" t="s">
        <v>16</v>
      </c>
      <c r="J12" s="20" t="s">
        <v>379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21" t="s">
        <v>407</v>
      </c>
      <c r="B13" s="22" t="s">
        <v>408</v>
      </c>
      <c r="C13" s="22" t="s">
        <v>409</v>
      </c>
      <c r="D13" s="23">
        <v>7.0</v>
      </c>
      <c r="E13" s="29" t="s">
        <v>25</v>
      </c>
      <c r="F13" s="22" t="s">
        <v>14</v>
      </c>
      <c r="G13" s="30" t="s">
        <v>15</v>
      </c>
      <c r="H13" s="23">
        <v>1016.0</v>
      </c>
      <c r="I13" s="38" t="s">
        <v>16</v>
      </c>
      <c r="J13" s="26" t="s">
        <v>379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15" t="s">
        <v>410</v>
      </c>
      <c r="B14" s="16" t="s">
        <v>106</v>
      </c>
      <c r="C14" s="16" t="s">
        <v>411</v>
      </c>
      <c r="D14" s="17">
        <v>7.0</v>
      </c>
      <c r="E14" s="27" t="s">
        <v>25</v>
      </c>
      <c r="F14" s="16" t="s">
        <v>14</v>
      </c>
      <c r="G14" s="19" t="s">
        <v>15</v>
      </c>
      <c r="H14" s="17">
        <v>1016.0</v>
      </c>
      <c r="I14" s="40" t="s">
        <v>16</v>
      </c>
      <c r="J14" s="20" t="s">
        <v>379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21" t="s">
        <v>412</v>
      </c>
      <c r="B15" s="22" t="s">
        <v>413</v>
      </c>
      <c r="C15" s="22" t="s">
        <v>414</v>
      </c>
      <c r="D15" s="23">
        <v>7.0</v>
      </c>
      <c r="E15" s="24" t="s">
        <v>13</v>
      </c>
      <c r="F15" s="22" t="s">
        <v>14</v>
      </c>
      <c r="G15" s="30" t="s">
        <v>15</v>
      </c>
      <c r="H15" s="23">
        <v>1141.0</v>
      </c>
      <c r="I15" s="39" t="s">
        <v>61</v>
      </c>
      <c r="J15" s="26" t="s">
        <v>379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15" t="s">
        <v>415</v>
      </c>
      <c r="B16" s="16" t="s">
        <v>109</v>
      </c>
      <c r="C16" s="16" t="s">
        <v>416</v>
      </c>
      <c r="D16" s="17">
        <v>7.0</v>
      </c>
      <c r="E16" s="18" t="s">
        <v>13</v>
      </c>
      <c r="F16" s="16" t="s">
        <v>14</v>
      </c>
      <c r="G16" s="19" t="s">
        <v>15</v>
      </c>
      <c r="H16" s="17">
        <v>1140.0</v>
      </c>
      <c r="I16" s="37" t="s">
        <v>61</v>
      </c>
      <c r="J16" s="20" t="s">
        <v>379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21" t="s">
        <v>417</v>
      </c>
      <c r="B17" s="22" t="s">
        <v>418</v>
      </c>
      <c r="C17" s="22" t="s">
        <v>147</v>
      </c>
      <c r="D17" s="23">
        <v>7.0</v>
      </c>
      <c r="E17" s="24" t="s">
        <v>13</v>
      </c>
      <c r="F17" s="22" t="s">
        <v>14</v>
      </c>
      <c r="G17" s="30" t="s">
        <v>15</v>
      </c>
      <c r="H17" s="23">
        <v>1144.0</v>
      </c>
      <c r="I17" s="39" t="s">
        <v>61</v>
      </c>
      <c r="J17" s="26" t="s">
        <v>379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15" t="s">
        <v>419</v>
      </c>
      <c r="B18" s="16" t="s">
        <v>125</v>
      </c>
      <c r="C18" s="16" t="s">
        <v>420</v>
      </c>
      <c r="D18" s="17">
        <v>7.0</v>
      </c>
      <c r="E18" s="18" t="s">
        <v>13</v>
      </c>
      <c r="F18" s="16" t="s">
        <v>14</v>
      </c>
      <c r="G18" s="19" t="s">
        <v>15</v>
      </c>
      <c r="H18" s="17">
        <v>1140.0</v>
      </c>
      <c r="I18" s="37" t="s">
        <v>61</v>
      </c>
      <c r="J18" s="20" t="s">
        <v>379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21" t="s">
        <v>421</v>
      </c>
      <c r="B19" s="22" t="s">
        <v>422</v>
      </c>
      <c r="C19" s="22" t="s">
        <v>74</v>
      </c>
      <c r="D19" s="23">
        <v>7.0</v>
      </c>
      <c r="E19" s="24" t="s">
        <v>13</v>
      </c>
      <c r="F19" s="22" t="s">
        <v>14</v>
      </c>
      <c r="G19" s="30" t="s">
        <v>15</v>
      </c>
      <c r="H19" s="23">
        <v>1145.0</v>
      </c>
      <c r="I19" s="39" t="s">
        <v>61</v>
      </c>
      <c r="J19" s="26" t="s">
        <v>379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15" t="s">
        <v>423</v>
      </c>
      <c r="B20" s="16" t="s">
        <v>424</v>
      </c>
      <c r="C20" s="16" t="s">
        <v>233</v>
      </c>
      <c r="D20" s="17">
        <v>7.0</v>
      </c>
      <c r="E20" s="18" t="s">
        <v>13</v>
      </c>
      <c r="F20" s="16" t="s">
        <v>14</v>
      </c>
      <c r="G20" s="19" t="s">
        <v>15</v>
      </c>
      <c r="H20" s="17">
        <v>1016.0</v>
      </c>
      <c r="I20" s="40" t="s">
        <v>16</v>
      </c>
      <c r="J20" s="20" t="s">
        <v>379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2.5" customHeight="1">
      <c r="A21" s="21" t="s">
        <v>425</v>
      </c>
      <c r="B21" s="22" t="s">
        <v>426</v>
      </c>
      <c r="C21" s="22" t="s">
        <v>208</v>
      </c>
      <c r="D21" s="23">
        <v>7.0</v>
      </c>
      <c r="E21" s="24" t="s">
        <v>13</v>
      </c>
      <c r="F21" s="22" t="s">
        <v>53</v>
      </c>
      <c r="G21" s="41" t="s">
        <v>92</v>
      </c>
      <c r="H21" s="23">
        <v>1141.0</v>
      </c>
      <c r="I21" s="39" t="s">
        <v>61</v>
      </c>
      <c r="J21" s="26" t="s">
        <v>379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2.5" customHeight="1">
      <c r="A22" s="15" t="s">
        <v>427</v>
      </c>
      <c r="B22" s="16" t="s">
        <v>428</v>
      </c>
      <c r="C22" s="16" t="s">
        <v>371</v>
      </c>
      <c r="D22" s="17">
        <v>7.0</v>
      </c>
      <c r="E22" s="18" t="s">
        <v>13</v>
      </c>
      <c r="F22" s="16" t="s">
        <v>14</v>
      </c>
      <c r="G22" s="19" t="s">
        <v>15</v>
      </c>
      <c r="H22" s="17">
        <v>1016.0</v>
      </c>
      <c r="I22" s="40" t="s">
        <v>16</v>
      </c>
      <c r="J22" s="20" t="s">
        <v>379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2.5" customHeight="1">
      <c r="A23" s="21" t="s">
        <v>429</v>
      </c>
      <c r="B23" s="22" t="s">
        <v>430</v>
      </c>
      <c r="C23" s="22" t="s">
        <v>431</v>
      </c>
      <c r="D23" s="23">
        <v>7.0</v>
      </c>
      <c r="E23" s="29" t="s">
        <v>25</v>
      </c>
      <c r="F23" s="22" t="s">
        <v>14</v>
      </c>
      <c r="G23" s="30" t="s">
        <v>15</v>
      </c>
      <c r="H23" s="23">
        <v>1016.0</v>
      </c>
      <c r="I23" s="38" t="s">
        <v>16</v>
      </c>
      <c r="J23" s="26" t="s">
        <v>379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2.5" customHeight="1">
      <c r="A24" s="15" t="s">
        <v>432</v>
      </c>
      <c r="B24" s="16" t="s">
        <v>433</v>
      </c>
      <c r="C24" s="16" t="s">
        <v>169</v>
      </c>
      <c r="D24" s="17">
        <v>7.0</v>
      </c>
      <c r="E24" s="18" t="s">
        <v>13</v>
      </c>
      <c r="F24" s="16" t="s">
        <v>14</v>
      </c>
      <c r="G24" s="42" t="s">
        <v>46</v>
      </c>
      <c r="H24" s="17">
        <v>1016.0</v>
      </c>
      <c r="I24" s="40" t="s">
        <v>16</v>
      </c>
      <c r="J24" s="20" t="s">
        <v>379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2.5" customHeight="1">
      <c r="A25" s="21" t="s">
        <v>434</v>
      </c>
      <c r="B25" s="22" t="s">
        <v>435</v>
      </c>
      <c r="C25" s="22" t="s">
        <v>246</v>
      </c>
      <c r="D25" s="23">
        <v>7.0</v>
      </c>
      <c r="E25" s="29" t="s">
        <v>25</v>
      </c>
      <c r="F25" s="22" t="s">
        <v>14</v>
      </c>
      <c r="G25" s="30" t="s">
        <v>15</v>
      </c>
      <c r="H25" s="23">
        <v>1145.0</v>
      </c>
      <c r="I25" s="39" t="s">
        <v>61</v>
      </c>
      <c r="J25" s="26" t="s">
        <v>379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2.5" customHeight="1">
      <c r="A26" s="15" t="s">
        <v>436</v>
      </c>
      <c r="B26" s="16" t="s">
        <v>435</v>
      </c>
      <c r="C26" s="16" t="s">
        <v>233</v>
      </c>
      <c r="D26" s="17">
        <v>7.0</v>
      </c>
      <c r="E26" s="18" t="s">
        <v>13</v>
      </c>
      <c r="F26" s="16" t="s">
        <v>14</v>
      </c>
      <c r="G26" s="19" t="s">
        <v>15</v>
      </c>
      <c r="H26" s="17">
        <v>1145.0</v>
      </c>
      <c r="I26" s="37" t="s">
        <v>61</v>
      </c>
      <c r="J26" s="20" t="s">
        <v>379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2.5" customHeight="1">
      <c r="A27" s="21" t="s">
        <v>437</v>
      </c>
      <c r="B27" s="22" t="s">
        <v>438</v>
      </c>
      <c r="C27" s="22" t="s">
        <v>230</v>
      </c>
      <c r="D27" s="23">
        <v>7.0</v>
      </c>
      <c r="E27" s="24" t="s">
        <v>13</v>
      </c>
      <c r="F27" s="22" t="s">
        <v>53</v>
      </c>
      <c r="G27" s="30" t="s">
        <v>15</v>
      </c>
      <c r="H27" s="23">
        <v>1016.0</v>
      </c>
      <c r="I27" s="38" t="s">
        <v>16</v>
      </c>
      <c r="J27" s="26" t="s">
        <v>379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2.5" customHeight="1">
      <c r="A28" s="15" t="s">
        <v>439</v>
      </c>
      <c r="B28" s="16" t="s">
        <v>40</v>
      </c>
      <c r="C28" s="16" t="s">
        <v>440</v>
      </c>
      <c r="D28" s="17">
        <v>7.0</v>
      </c>
      <c r="E28" s="18" t="s">
        <v>13</v>
      </c>
      <c r="F28" s="16" t="s">
        <v>14</v>
      </c>
      <c r="G28" s="19" t="s">
        <v>42</v>
      </c>
      <c r="H28" s="17">
        <v>1016.0</v>
      </c>
      <c r="I28" s="40" t="s">
        <v>16</v>
      </c>
      <c r="J28" s="20" t="s">
        <v>379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2.5" customHeight="1">
      <c r="A29" s="21" t="s">
        <v>441</v>
      </c>
      <c r="B29" s="22" t="s">
        <v>442</v>
      </c>
      <c r="C29" s="22" t="s">
        <v>443</v>
      </c>
      <c r="D29" s="23">
        <v>7.0</v>
      </c>
      <c r="E29" s="24" t="s">
        <v>13</v>
      </c>
      <c r="F29" s="22" t="s">
        <v>14</v>
      </c>
      <c r="G29" s="30" t="s">
        <v>15</v>
      </c>
      <c r="H29" s="23">
        <v>1144.0</v>
      </c>
      <c r="I29" s="39" t="s">
        <v>61</v>
      </c>
      <c r="J29" s="26" t="s">
        <v>379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2.5" customHeight="1">
      <c r="A30" s="15" t="s">
        <v>444</v>
      </c>
      <c r="B30" s="16" t="s">
        <v>445</v>
      </c>
      <c r="C30" s="16" t="s">
        <v>446</v>
      </c>
      <c r="D30" s="17">
        <v>7.0</v>
      </c>
      <c r="E30" s="27" t="s">
        <v>25</v>
      </c>
      <c r="F30" s="16" t="s">
        <v>14</v>
      </c>
      <c r="G30" s="19" t="s">
        <v>15</v>
      </c>
      <c r="H30" s="17">
        <v>1016.0</v>
      </c>
      <c r="I30" s="40" t="s">
        <v>16</v>
      </c>
      <c r="J30" s="20" t="s">
        <v>379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2.5" customHeight="1">
      <c r="A31" s="21" t="s">
        <v>447</v>
      </c>
      <c r="B31" s="22" t="s">
        <v>448</v>
      </c>
      <c r="C31" s="22" t="s">
        <v>449</v>
      </c>
      <c r="D31" s="23">
        <v>7.0</v>
      </c>
      <c r="E31" s="29" t="s">
        <v>25</v>
      </c>
      <c r="F31" s="22" t="s">
        <v>14</v>
      </c>
      <c r="G31" s="30" t="s">
        <v>15</v>
      </c>
      <c r="H31" s="23">
        <v>1016.0</v>
      </c>
      <c r="I31" s="38" t="s">
        <v>16</v>
      </c>
      <c r="J31" s="26" t="s">
        <v>379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2.5" customHeight="1">
      <c r="A32" s="15" t="s">
        <v>450</v>
      </c>
      <c r="B32" s="16" t="s">
        <v>451</v>
      </c>
      <c r="C32" s="16" t="s">
        <v>452</v>
      </c>
      <c r="D32" s="17">
        <v>7.0</v>
      </c>
      <c r="E32" s="18" t="s">
        <v>13</v>
      </c>
      <c r="F32" s="16" t="s">
        <v>14</v>
      </c>
      <c r="G32" s="19" t="s">
        <v>15</v>
      </c>
      <c r="H32" s="17">
        <v>1016.0</v>
      </c>
      <c r="I32" s="40" t="s">
        <v>16</v>
      </c>
      <c r="J32" s="20" t="s">
        <v>379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2.5" customHeight="1">
      <c r="A33" s="21" t="s">
        <v>453</v>
      </c>
      <c r="B33" s="22" t="s">
        <v>454</v>
      </c>
      <c r="C33" s="22" t="s">
        <v>293</v>
      </c>
      <c r="D33" s="23">
        <v>7.0</v>
      </c>
      <c r="E33" s="24" t="s">
        <v>13</v>
      </c>
      <c r="F33" s="22" t="s">
        <v>14</v>
      </c>
      <c r="G33" s="30" t="s">
        <v>15</v>
      </c>
      <c r="H33" s="23">
        <v>1016.0</v>
      </c>
      <c r="I33" s="38" t="s">
        <v>16</v>
      </c>
      <c r="J33" s="26" t="s">
        <v>379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2.5" customHeight="1">
      <c r="A34" s="15" t="s">
        <v>455</v>
      </c>
      <c r="B34" s="16" t="s">
        <v>456</v>
      </c>
      <c r="C34" s="16" t="s">
        <v>261</v>
      </c>
      <c r="D34" s="17">
        <v>7.0</v>
      </c>
      <c r="E34" s="18" t="s">
        <v>13</v>
      </c>
      <c r="F34" s="16" t="s">
        <v>14</v>
      </c>
      <c r="G34" s="19" t="s">
        <v>15</v>
      </c>
      <c r="H34" s="17">
        <v>1140.0</v>
      </c>
      <c r="I34" s="37" t="s">
        <v>61</v>
      </c>
      <c r="J34" s="20" t="s">
        <v>379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2.5" customHeight="1">
      <c r="A35" s="21" t="s">
        <v>457</v>
      </c>
      <c r="B35" s="22" t="s">
        <v>171</v>
      </c>
      <c r="C35" s="22" t="s">
        <v>157</v>
      </c>
      <c r="D35" s="23">
        <v>7.0</v>
      </c>
      <c r="E35" s="29" t="s">
        <v>25</v>
      </c>
      <c r="F35" s="22" t="s">
        <v>14</v>
      </c>
      <c r="G35" s="43" t="s">
        <v>172</v>
      </c>
      <c r="H35" s="23">
        <v>1145.0</v>
      </c>
      <c r="I35" s="39" t="s">
        <v>61</v>
      </c>
      <c r="J35" s="26" t="s">
        <v>379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2.5" customHeight="1">
      <c r="A36" s="15" t="s">
        <v>458</v>
      </c>
      <c r="B36" s="16" t="s">
        <v>459</v>
      </c>
      <c r="C36" s="16" t="s">
        <v>460</v>
      </c>
      <c r="D36" s="17">
        <v>7.0</v>
      </c>
      <c r="E36" s="18" t="s">
        <v>13</v>
      </c>
      <c r="F36" s="16" t="s">
        <v>14</v>
      </c>
      <c r="G36" s="19" t="s">
        <v>15</v>
      </c>
      <c r="H36" s="17">
        <v>1016.0</v>
      </c>
      <c r="I36" s="40" t="s">
        <v>16</v>
      </c>
      <c r="J36" s="20" t="s">
        <v>379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2.5" customHeight="1">
      <c r="A37" s="21" t="s">
        <v>461</v>
      </c>
      <c r="B37" s="22" t="s">
        <v>462</v>
      </c>
      <c r="C37" s="22" t="s">
        <v>157</v>
      </c>
      <c r="D37" s="23">
        <v>7.0</v>
      </c>
      <c r="E37" s="29" t="s">
        <v>25</v>
      </c>
      <c r="F37" s="22" t="s">
        <v>14</v>
      </c>
      <c r="G37" s="30" t="s">
        <v>15</v>
      </c>
      <c r="H37" s="23">
        <v>1140.0</v>
      </c>
      <c r="I37" s="39" t="s">
        <v>61</v>
      </c>
      <c r="J37" s="26" t="s">
        <v>379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2.5" customHeight="1">
      <c r="A38" s="15" t="s">
        <v>463</v>
      </c>
      <c r="B38" s="16" t="s">
        <v>464</v>
      </c>
      <c r="C38" s="16" t="s">
        <v>181</v>
      </c>
      <c r="D38" s="17">
        <v>7.0</v>
      </c>
      <c r="E38" s="18" t="s">
        <v>13</v>
      </c>
      <c r="F38" s="16" t="s">
        <v>14</v>
      </c>
      <c r="G38" s="19" t="s">
        <v>15</v>
      </c>
      <c r="H38" s="17">
        <v>1016.0</v>
      </c>
      <c r="I38" s="40" t="s">
        <v>16</v>
      </c>
      <c r="J38" s="20" t="s">
        <v>379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2.5" customHeight="1">
      <c r="A39" s="21" t="s">
        <v>465</v>
      </c>
      <c r="B39" s="22" t="s">
        <v>466</v>
      </c>
      <c r="C39" s="22" t="s">
        <v>467</v>
      </c>
      <c r="D39" s="23">
        <v>7.0</v>
      </c>
      <c r="E39" s="29" t="s">
        <v>25</v>
      </c>
      <c r="F39" s="22" t="s">
        <v>14</v>
      </c>
      <c r="G39" s="30" t="s">
        <v>15</v>
      </c>
      <c r="H39" s="23">
        <v>1016.0</v>
      </c>
      <c r="I39" s="38" t="s">
        <v>16</v>
      </c>
      <c r="J39" s="26" t="s">
        <v>379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2.5" customHeight="1">
      <c r="A40" s="15" t="s">
        <v>468</v>
      </c>
      <c r="B40" s="16" t="s">
        <v>469</v>
      </c>
      <c r="C40" s="16" t="s">
        <v>470</v>
      </c>
      <c r="D40" s="17">
        <v>7.0</v>
      </c>
      <c r="E40" s="27" t="s">
        <v>25</v>
      </c>
      <c r="F40" s="16" t="s">
        <v>14</v>
      </c>
      <c r="G40" s="44" t="s">
        <v>471</v>
      </c>
      <c r="H40" s="17">
        <v>1141.0</v>
      </c>
      <c r="I40" s="37" t="s">
        <v>61</v>
      </c>
      <c r="J40" s="20" t="s">
        <v>379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2.5" customHeight="1">
      <c r="A41" s="21" t="s">
        <v>472</v>
      </c>
      <c r="B41" s="22" t="s">
        <v>473</v>
      </c>
      <c r="C41" s="22" t="s">
        <v>474</v>
      </c>
      <c r="D41" s="23">
        <v>7.0</v>
      </c>
      <c r="E41" s="24" t="s">
        <v>13</v>
      </c>
      <c r="F41" s="22" t="s">
        <v>14</v>
      </c>
      <c r="G41" s="30" t="s">
        <v>15</v>
      </c>
      <c r="H41" s="23">
        <v>1145.0</v>
      </c>
      <c r="I41" s="39" t="s">
        <v>61</v>
      </c>
      <c r="J41" s="26" t="s">
        <v>379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2.5" customHeight="1">
      <c r="A42" s="15" t="s">
        <v>475</v>
      </c>
      <c r="B42" s="16" t="s">
        <v>341</v>
      </c>
      <c r="C42" s="16" t="s">
        <v>476</v>
      </c>
      <c r="D42" s="17">
        <v>7.0</v>
      </c>
      <c r="E42" s="27" t="s">
        <v>25</v>
      </c>
      <c r="F42" s="16" t="s">
        <v>14</v>
      </c>
      <c r="G42" s="19" t="s">
        <v>15</v>
      </c>
      <c r="H42" s="17">
        <v>1016.0</v>
      </c>
      <c r="I42" s="40" t="s">
        <v>16</v>
      </c>
      <c r="J42" s="20" t="s">
        <v>379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2.5" customHeight="1">
      <c r="A43" s="21" t="s">
        <v>477</v>
      </c>
      <c r="B43" s="22" t="s">
        <v>478</v>
      </c>
      <c r="C43" s="22" t="s">
        <v>479</v>
      </c>
      <c r="D43" s="23">
        <v>7.0</v>
      </c>
      <c r="E43" s="29" t="s">
        <v>25</v>
      </c>
      <c r="F43" s="22" t="s">
        <v>14</v>
      </c>
      <c r="G43" s="30" t="s">
        <v>15</v>
      </c>
      <c r="H43" s="23">
        <v>1016.0</v>
      </c>
      <c r="I43" s="38" t="s">
        <v>16</v>
      </c>
      <c r="J43" s="26" t="s">
        <v>379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2.5" customHeight="1">
      <c r="A44" s="15" t="s">
        <v>480</v>
      </c>
      <c r="B44" s="16" t="s">
        <v>481</v>
      </c>
      <c r="C44" s="16" t="s">
        <v>482</v>
      </c>
      <c r="D44" s="17">
        <v>7.0</v>
      </c>
      <c r="E44" s="18" t="s">
        <v>13</v>
      </c>
      <c r="F44" s="16" t="s">
        <v>14</v>
      </c>
      <c r="G44" s="19" t="s">
        <v>15</v>
      </c>
      <c r="H44" s="17">
        <v>1016.0</v>
      </c>
      <c r="I44" s="40" t="s">
        <v>16</v>
      </c>
      <c r="J44" s="20" t="s">
        <v>379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2.5" customHeight="1">
      <c r="A45" s="21" t="s">
        <v>483</v>
      </c>
      <c r="B45" s="22" t="s">
        <v>484</v>
      </c>
      <c r="C45" s="22" t="s">
        <v>485</v>
      </c>
      <c r="D45" s="23">
        <v>7.0</v>
      </c>
      <c r="E45" s="29" t="s">
        <v>25</v>
      </c>
      <c r="F45" s="22" t="s">
        <v>14</v>
      </c>
      <c r="G45" s="30" t="s">
        <v>15</v>
      </c>
      <c r="H45" s="23">
        <v>1016.0</v>
      </c>
      <c r="I45" s="38" t="s">
        <v>16</v>
      </c>
      <c r="J45" s="26" t="s">
        <v>379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2.5" customHeight="1">
      <c r="A46" s="15" t="s">
        <v>486</v>
      </c>
      <c r="B46" s="16" t="s">
        <v>220</v>
      </c>
      <c r="C46" s="16" t="s">
        <v>487</v>
      </c>
      <c r="D46" s="17">
        <v>7.0</v>
      </c>
      <c r="E46" s="18" t="s">
        <v>13</v>
      </c>
      <c r="F46" s="16" t="s">
        <v>14</v>
      </c>
      <c r="G46" s="44" t="s">
        <v>471</v>
      </c>
      <c r="H46" s="17">
        <v>1016.0</v>
      </c>
      <c r="I46" s="40" t="s">
        <v>16</v>
      </c>
      <c r="J46" s="20" t="s">
        <v>379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2.5" customHeight="1">
      <c r="A47" s="21" t="s">
        <v>488</v>
      </c>
      <c r="B47" s="22" t="s">
        <v>223</v>
      </c>
      <c r="C47" s="22" t="s">
        <v>227</v>
      </c>
      <c r="D47" s="23">
        <v>7.0</v>
      </c>
      <c r="E47" s="24" t="s">
        <v>13</v>
      </c>
      <c r="F47" s="22" t="s">
        <v>14</v>
      </c>
      <c r="G47" s="30" t="s">
        <v>15</v>
      </c>
      <c r="H47" s="23">
        <v>1016.0</v>
      </c>
      <c r="I47" s="38" t="s">
        <v>16</v>
      </c>
      <c r="J47" s="26" t="s">
        <v>379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2.5" customHeight="1">
      <c r="A48" s="15" t="s">
        <v>489</v>
      </c>
      <c r="B48" s="16" t="s">
        <v>490</v>
      </c>
      <c r="C48" s="16" t="s">
        <v>491</v>
      </c>
      <c r="D48" s="17">
        <v>7.0</v>
      </c>
      <c r="E48" s="27" t="s">
        <v>25</v>
      </c>
      <c r="F48" s="16" t="s">
        <v>14</v>
      </c>
      <c r="G48" s="19" t="s">
        <v>15</v>
      </c>
      <c r="H48" s="17">
        <v>1016.0</v>
      </c>
      <c r="I48" s="40" t="s">
        <v>16</v>
      </c>
      <c r="J48" s="20" t="s">
        <v>379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2.5" customHeight="1">
      <c r="A49" s="21" t="s">
        <v>492</v>
      </c>
      <c r="B49" s="22" t="s">
        <v>493</v>
      </c>
      <c r="C49" s="22" t="s">
        <v>494</v>
      </c>
      <c r="D49" s="23">
        <v>7.0</v>
      </c>
      <c r="E49" s="29" t="s">
        <v>25</v>
      </c>
      <c r="F49" s="22" t="s">
        <v>14</v>
      </c>
      <c r="G49" s="30" t="s">
        <v>15</v>
      </c>
      <c r="H49" s="23">
        <v>1016.0</v>
      </c>
      <c r="I49" s="38" t="s">
        <v>16</v>
      </c>
      <c r="J49" s="26" t="s">
        <v>379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2.5" customHeight="1">
      <c r="A50" s="15" t="s">
        <v>495</v>
      </c>
      <c r="B50" s="16" t="s">
        <v>496</v>
      </c>
      <c r="C50" s="16" t="s">
        <v>497</v>
      </c>
      <c r="D50" s="17">
        <v>7.0</v>
      </c>
      <c r="E50" s="18" t="s">
        <v>13</v>
      </c>
      <c r="F50" s="16" t="s">
        <v>14</v>
      </c>
      <c r="G50" s="19" t="s">
        <v>15</v>
      </c>
      <c r="H50" s="17">
        <v>1016.0</v>
      </c>
      <c r="I50" s="40" t="s">
        <v>16</v>
      </c>
      <c r="J50" s="20" t="s">
        <v>379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2.5" customHeight="1">
      <c r="A51" s="21" t="s">
        <v>498</v>
      </c>
      <c r="B51" s="22" t="s">
        <v>499</v>
      </c>
      <c r="C51" s="22" t="s">
        <v>497</v>
      </c>
      <c r="D51" s="23">
        <v>7.0</v>
      </c>
      <c r="E51" s="24" t="s">
        <v>13</v>
      </c>
      <c r="F51" s="22" t="s">
        <v>14</v>
      </c>
      <c r="G51" s="30" t="s">
        <v>15</v>
      </c>
      <c r="H51" s="23">
        <v>1016.0</v>
      </c>
      <c r="I51" s="38" t="s">
        <v>16</v>
      </c>
      <c r="J51" s="26" t="s">
        <v>379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2.5" customHeight="1">
      <c r="A52" s="45" t="s">
        <v>500</v>
      </c>
      <c r="B52" s="46" t="s">
        <v>501</v>
      </c>
      <c r="C52" s="46" t="s">
        <v>502</v>
      </c>
      <c r="D52" s="47">
        <v>7.0</v>
      </c>
      <c r="E52" s="48" t="s">
        <v>13</v>
      </c>
      <c r="F52" s="46" t="s">
        <v>14</v>
      </c>
      <c r="G52" s="49" t="s">
        <v>46</v>
      </c>
      <c r="H52" s="47">
        <v>1016.0</v>
      </c>
      <c r="I52" s="50" t="s">
        <v>16</v>
      </c>
      <c r="J52" s="51" t="s">
        <v>379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ataValidations>
    <dataValidation type="list" allowBlank="1" showDropDown="1" showErrorMessage="1" sqref="G2:G52">
      <formula1>"White,No Answer Provided,Japanese,Chinese,Korean,Samoan,Vietnamese"</formula1>
    </dataValidation>
    <dataValidation type="list" allowBlank="1" showDropDown="1" showErrorMessage="1" sqref="E2:E52">
      <formula1>"M,F"</formula1>
    </dataValidation>
    <dataValidation type="custom" allowBlank="1" showDropDown="1" sqref="D2:D52 H2:H52">
      <formula1>AND(ISNUMBER(D2),(NOT(OR(NOT(ISERROR(DATEVALUE(D2))), AND(ISNUMBER(D2), LEFT(CELL("format", D2))="D")))))</formula1>
    </dataValidation>
    <dataValidation type="list" allowBlank="1" showDropDown="1" showErrorMessage="1" sqref="I2:I52">
      <formula1>"000325,000329"</formula1>
    </dataValidation>
    <dataValidation allowBlank="1" showDropDown="1" sqref="A2:C52 F2:F5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3" t="s">
        <v>9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2.5" customHeight="1">
      <c r="A2" s="15" t="s">
        <v>503</v>
      </c>
      <c r="B2" s="16" t="s">
        <v>504</v>
      </c>
      <c r="C2" s="16" t="s">
        <v>505</v>
      </c>
      <c r="D2" s="17">
        <v>7.0</v>
      </c>
      <c r="E2" s="18" t="s">
        <v>13</v>
      </c>
      <c r="F2" s="16" t="s">
        <v>53</v>
      </c>
      <c r="G2" s="16" t="s">
        <v>15</v>
      </c>
      <c r="H2" s="17">
        <v>1080.0</v>
      </c>
      <c r="I2" s="19" t="s">
        <v>61</v>
      </c>
      <c r="J2" s="20" t="s">
        <v>506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21" t="s">
        <v>507</v>
      </c>
      <c r="B3" s="22" t="s">
        <v>508</v>
      </c>
      <c r="C3" s="22" t="s">
        <v>509</v>
      </c>
      <c r="D3" s="23">
        <v>7.0</v>
      </c>
      <c r="E3" s="24" t="s">
        <v>13</v>
      </c>
      <c r="F3" s="22" t="s">
        <v>14</v>
      </c>
      <c r="G3" s="22" t="s">
        <v>29</v>
      </c>
      <c r="H3" s="23">
        <v>1226.0</v>
      </c>
      <c r="I3" s="30" t="s">
        <v>61</v>
      </c>
      <c r="J3" s="26" t="s">
        <v>506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15" t="s">
        <v>510</v>
      </c>
      <c r="B4" s="16" t="s">
        <v>511</v>
      </c>
      <c r="C4" s="16" t="s">
        <v>512</v>
      </c>
      <c r="D4" s="17">
        <v>7.0</v>
      </c>
      <c r="E4" s="27" t="s">
        <v>25</v>
      </c>
      <c r="F4" s="16" t="s">
        <v>14</v>
      </c>
      <c r="G4" s="16" t="s">
        <v>15</v>
      </c>
      <c r="H4" s="17">
        <v>1082.0</v>
      </c>
      <c r="I4" s="19" t="s">
        <v>61</v>
      </c>
      <c r="J4" s="20" t="s">
        <v>506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21" t="s">
        <v>513</v>
      </c>
      <c r="B5" s="22" t="s">
        <v>514</v>
      </c>
      <c r="C5" s="22" t="s">
        <v>382</v>
      </c>
      <c r="D5" s="23">
        <v>7.0</v>
      </c>
      <c r="E5" s="24" t="s">
        <v>13</v>
      </c>
      <c r="F5" s="22" t="s">
        <v>14</v>
      </c>
      <c r="G5" s="22" t="s">
        <v>15</v>
      </c>
      <c r="H5" s="23">
        <v>1014.0</v>
      </c>
      <c r="I5" s="25" t="s">
        <v>16</v>
      </c>
      <c r="J5" s="26" t="s">
        <v>506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15" t="s">
        <v>515</v>
      </c>
      <c r="B6" s="16" t="s">
        <v>254</v>
      </c>
      <c r="C6" s="16" t="s">
        <v>246</v>
      </c>
      <c r="D6" s="17">
        <v>7.0</v>
      </c>
      <c r="E6" s="27" t="s">
        <v>25</v>
      </c>
      <c r="F6" s="16" t="s">
        <v>14</v>
      </c>
      <c r="G6" s="16" t="s">
        <v>15</v>
      </c>
      <c r="H6" s="17">
        <v>1082.0</v>
      </c>
      <c r="I6" s="19" t="s">
        <v>61</v>
      </c>
      <c r="J6" s="20" t="s">
        <v>506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21" t="s">
        <v>516</v>
      </c>
      <c r="B7" s="22" t="s">
        <v>90</v>
      </c>
      <c r="C7" s="22" t="s">
        <v>517</v>
      </c>
      <c r="D7" s="23">
        <v>7.0</v>
      </c>
      <c r="E7" s="29" t="s">
        <v>25</v>
      </c>
      <c r="F7" s="22" t="s">
        <v>14</v>
      </c>
      <c r="G7" s="22" t="s">
        <v>92</v>
      </c>
      <c r="H7" s="23">
        <v>1099.0</v>
      </c>
      <c r="I7" s="25" t="s">
        <v>16</v>
      </c>
      <c r="J7" s="26" t="s">
        <v>506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15" t="s">
        <v>518</v>
      </c>
      <c r="B8" s="16" t="s">
        <v>519</v>
      </c>
      <c r="C8" s="16" t="s">
        <v>520</v>
      </c>
      <c r="D8" s="17">
        <v>7.0</v>
      </c>
      <c r="E8" s="27" t="s">
        <v>25</v>
      </c>
      <c r="F8" s="16" t="s">
        <v>53</v>
      </c>
      <c r="G8" s="16" t="s">
        <v>15</v>
      </c>
      <c r="H8" s="17">
        <v>1014.0</v>
      </c>
      <c r="I8" s="28" t="s">
        <v>16</v>
      </c>
      <c r="J8" s="20" t="s">
        <v>506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21" t="s">
        <v>521</v>
      </c>
      <c r="B9" s="22" t="s">
        <v>522</v>
      </c>
      <c r="C9" s="22" t="s">
        <v>523</v>
      </c>
      <c r="D9" s="23">
        <v>7.0</v>
      </c>
      <c r="E9" s="29" t="s">
        <v>25</v>
      </c>
      <c r="F9" s="22" t="s">
        <v>53</v>
      </c>
      <c r="G9" s="22" t="s">
        <v>111</v>
      </c>
      <c r="H9" s="23">
        <v>1099.0</v>
      </c>
      <c r="I9" s="25" t="s">
        <v>16</v>
      </c>
      <c r="J9" s="26" t="s">
        <v>506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15" t="s">
        <v>524</v>
      </c>
      <c r="B10" s="16" t="s">
        <v>525</v>
      </c>
      <c r="C10" s="16" t="s">
        <v>526</v>
      </c>
      <c r="D10" s="17">
        <v>7.0</v>
      </c>
      <c r="E10" s="18" t="s">
        <v>13</v>
      </c>
      <c r="F10" s="16" t="s">
        <v>14</v>
      </c>
      <c r="G10" s="16" t="s">
        <v>15</v>
      </c>
      <c r="H10" s="17">
        <v>1099.0</v>
      </c>
      <c r="I10" s="28" t="s">
        <v>16</v>
      </c>
      <c r="J10" s="20" t="s">
        <v>506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21" t="s">
        <v>527</v>
      </c>
      <c r="B11" s="22" t="s">
        <v>528</v>
      </c>
      <c r="C11" s="22" t="s">
        <v>529</v>
      </c>
      <c r="D11" s="23">
        <v>7.0</v>
      </c>
      <c r="E11" s="24" t="s">
        <v>13</v>
      </c>
      <c r="F11" s="22" t="s">
        <v>14</v>
      </c>
      <c r="G11" s="22" t="s">
        <v>46</v>
      </c>
      <c r="H11" s="23">
        <v>1080.0</v>
      </c>
      <c r="I11" s="30" t="s">
        <v>61</v>
      </c>
      <c r="J11" s="26" t="s">
        <v>506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15" t="s">
        <v>530</v>
      </c>
      <c r="B12" s="16" t="s">
        <v>531</v>
      </c>
      <c r="C12" s="16" t="s">
        <v>532</v>
      </c>
      <c r="D12" s="17">
        <v>7.0</v>
      </c>
      <c r="E12" s="27" t="s">
        <v>25</v>
      </c>
      <c r="F12" s="16" t="s">
        <v>14</v>
      </c>
      <c r="G12" s="16" t="s">
        <v>15</v>
      </c>
      <c r="H12" s="17">
        <v>1223.0</v>
      </c>
      <c r="I12" s="19" t="s">
        <v>61</v>
      </c>
      <c r="J12" s="20" t="s">
        <v>506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21" t="s">
        <v>533</v>
      </c>
      <c r="B13" s="22" t="s">
        <v>534</v>
      </c>
      <c r="C13" s="22" t="s">
        <v>535</v>
      </c>
      <c r="D13" s="23">
        <v>7.0</v>
      </c>
      <c r="E13" s="29" t="s">
        <v>25</v>
      </c>
      <c r="F13" s="22" t="s">
        <v>14</v>
      </c>
      <c r="G13" s="22" t="s">
        <v>15</v>
      </c>
      <c r="H13" s="23">
        <v>1099.0</v>
      </c>
      <c r="I13" s="25" t="s">
        <v>16</v>
      </c>
      <c r="J13" s="26" t="s">
        <v>506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15" t="s">
        <v>536</v>
      </c>
      <c r="B14" s="16" t="s">
        <v>537</v>
      </c>
      <c r="C14" s="16" t="s">
        <v>538</v>
      </c>
      <c r="D14" s="17">
        <v>7.0</v>
      </c>
      <c r="E14" s="18" t="s">
        <v>13</v>
      </c>
      <c r="F14" s="16" t="s">
        <v>14</v>
      </c>
      <c r="G14" s="16" t="s">
        <v>15</v>
      </c>
      <c r="H14" s="17">
        <v>1014.0</v>
      </c>
      <c r="I14" s="28" t="s">
        <v>16</v>
      </c>
      <c r="J14" s="20" t="s">
        <v>506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21" t="s">
        <v>539</v>
      </c>
      <c r="B15" s="22" t="s">
        <v>540</v>
      </c>
      <c r="C15" s="22" t="s">
        <v>187</v>
      </c>
      <c r="D15" s="23">
        <v>7.0</v>
      </c>
      <c r="E15" s="24" t="s">
        <v>13</v>
      </c>
      <c r="F15" s="22" t="s">
        <v>14</v>
      </c>
      <c r="G15" s="22" t="s">
        <v>15</v>
      </c>
      <c r="H15" s="23">
        <v>1099.0</v>
      </c>
      <c r="I15" s="25" t="s">
        <v>16</v>
      </c>
      <c r="J15" s="26" t="s">
        <v>506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15" t="s">
        <v>541</v>
      </c>
      <c r="B16" s="16" t="s">
        <v>542</v>
      </c>
      <c r="C16" s="16" t="s">
        <v>543</v>
      </c>
      <c r="D16" s="17">
        <v>7.0</v>
      </c>
      <c r="E16" s="27" t="s">
        <v>25</v>
      </c>
      <c r="F16" s="16" t="s">
        <v>14</v>
      </c>
      <c r="G16" s="16" t="s">
        <v>15</v>
      </c>
      <c r="H16" s="17">
        <v>1099.0</v>
      </c>
      <c r="I16" s="28" t="s">
        <v>16</v>
      </c>
      <c r="J16" s="20" t="s">
        <v>506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21" t="s">
        <v>544</v>
      </c>
      <c r="B17" s="22" t="s">
        <v>545</v>
      </c>
      <c r="C17" s="22" t="s">
        <v>101</v>
      </c>
      <c r="D17" s="23">
        <v>7.0</v>
      </c>
      <c r="E17" s="29" t="s">
        <v>25</v>
      </c>
      <c r="F17" s="22" t="s">
        <v>14</v>
      </c>
      <c r="G17" s="22" t="s">
        <v>15</v>
      </c>
      <c r="H17" s="23">
        <v>1014.0</v>
      </c>
      <c r="I17" s="25" t="s">
        <v>16</v>
      </c>
      <c r="J17" s="26" t="s">
        <v>506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15" t="s">
        <v>546</v>
      </c>
      <c r="B18" s="16" t="s">
        <v>290</v>
      </c>
      <c r="C18" s="16" t="s">
        <v>547</v>
      </c>
      <c r="D18" s="17">
        <v>7.0</v>
      </c>
      <c r="E18" s="27" t="s">
        <v>25</v>
      </c>
      <c r="F18" s="16" t="s">
        <v>14</v>
      </c>
      <c r="G18" s="16" t="s">
        <v>15</v>
      </c>
      <c r="H18" s="17">
        <v>1099.0</v>
      </c>
      <c r="I18" s="28" t="s">
        <v>16</v>
      </c>
      <c r="J18" s="20" t="s">
        <v>506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21" t="s">
        <v>548</v>
      </c>
      <c r="B19" s="22" t="s">
        <v>430</v>
      </c>
      <c r="C19" s="22" t="s">
        <v>187</v>
      </c>
      <c r="D19" s="23">
        <v>7.0</v>
      </c>
      <c r="E19" s="24" t="s">
        <v>13</v>
      </c>
      <c r="F19" s="22" t="s">
        <v>14</v>
      </c>
      <c r="G19" s="22" t="s">
        <v>15</v>
      </c>
      <c r="H19" s="23">
        <v>1226.0</v>
      </c>
      <c r="I19" s="30" t="s">
        <v>61</v>
      </c>
      <c r="J19" s="26" t="s">
        <v>506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15" t="s">
        <v>549</v>
      </c>
      <c r="B20" s="16" t="s">
        <v>34</v>
      </c>
      <c r="C20" s="16" t="s">
        <v>550</v>
      </c>
      <c r="D20" s="17">
        <v>7.0</v>
      </c>
      <c r="E20" s="18" t="s">
        <v>13</v>
      </c>
      <c r="F20" s="16" t="s">
        <v>14</v>
      </c>
      <c r="G20" s="16" t="s">
        <v>15</v>
      </c>
      <c r="H20" s="17">
        <v>1082.0</v>
      </c>
      <c r="I20" s="19" t="s">
        <v>61</v>
      </c>
      <c r="J20" s="20" t="s">
        <v>506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2.5" customHeight="1">
      <c r="A21" s="21" t="s">
        <v>551</v>
      </c>
      <c r="B21" s="22" t="s">
        <v>143</v>
      </c>
      <c r="C21" s="22" t="s">
        <v>552</v>
      </c>
      <c r="D21" s="23">
        <v>7.0</v>
      </c>
      <c r="E21" s="29" t="s">
        <v>25</v>
      </c>
      <c r="F21" s="22" t="s">
        <v>14</v>
      </c>
      <c r="G21" s="22" t="s">
        <v>471</v>
      </c>
      <c r="H21" s="23">
        <v>1014.0</v>
      </c>
      <c r="I21" s="25" t="s">
        <v>16</v>
      </c>
      <c r="J21" s="26" t="s">
        <v>506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2.5" customHeight="1">
      <c r="A22" s="15" t="s">
        <v>553</v>
      </c>
      <c r="B22" s="16" t="s">
        <v>554</v>
      </c>
      <c r="C22" s="16" t="s">
        <v>555</v>
      </c>
      <c r="D22" s="17">
        <v>7.0</v>
      </c>
      <c r="E22" s="27" t="s">
        <v>25</v>
      </c>
      <c r="F22" s="16" t="s">
        <v>14</v>
      </c>
      <c r="G22" s="16" t="s">
        <v>46</v>
      </c>
      <c r="H22" s="17">
        <v>1099.0</v>
      </c>
      <c r="I22" s="28" t="s">
        <v>16</v>
      </c>
      <c r="J22" s="20" t="s">
        <v>506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2.5" customHeight="1">
      <c r="A23" s="21" t="s">
        <v>556</v>
      </c>
      <c r="B23" s="22" t="s">
        <v>37</v>
      </c>
      <c r="C23" s="22" t="s">
        <v>557</v>
      </c>
      <c r="D23" s="23">
        <v>7.0</v>
      </c>
      <c r="E23" s="24" t="s">
        <v>13</v>
      </c>
      <c r="F23" s="22" t="s">
        <v>14</v>
      </c>
      <c r="G23" s="22" t="s">
        <v>15</v>
      </c>
      <c r="H23" s="23">
        <v>1014.0</v>
      </c>
      <c r="I23" s="25" t="s">
        <v>16</v>
      </c>
      <c r="J23" s="26" t="s">
        <v>506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2.5" customHeight="1">
      <c r="A24" s="15" t="s">
        <v>558</v>
      </c>
      <c r="B24" s="16" t="s">
        <v>559</v>
      </c>
      <c r="C24" s="16" t="s">
        <v>560</v>
      </c>
      <c r="D24" s="17">
        <v>7.0</v>
      </c>
      <c r="E24" s="27" t="s">
        <v>25</v>
      </c>
      <c r="F24" s="16" t="s">
        <v>14</v>
      </c>
      <c r="G24" s="16" t="s">
        <v>15</v>
      </c>
      <c r="H24" s="17">
        <v>1077.0</v>
      </c>
      <c r="I24" s="19" t="s">
        <v>61</v>
      </c>
      <c r="J24" s="20" t="s">
        <v>506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2.5" customHeight="1">
      <c r="A25" s="21" t="s">
        <v>561</v>
      </c>
      <c r="B25" s="22" t="s">
        <v>562</v>
      </c>
      <c r="C25" s="22" t="s">
        <v>563</v>
      </c>
      <c r="D25" s="23">
        <v>7.0</v>
      </c>
      <c r="E25" s="24" t="s">
        <v>13</v>
      </c>
      <c r="F25" s="22" t="s">
        <v>14</v>
      </c>
      <c r="G25" s="22" t="s">
        <v>15</v>
      </c>
      <c r="H25" s="23">
        <v>1099.0</v>
      </c>
      <c r="I25" s="25" t="s">
        <v>16</v>
      </c>
      <c r="J25" s="26" t="s">
        <v>506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2.5" customHeight="1">
      <c r="A26" s="15" t="s">
        <v>564</v>
      </c>
      <c r="B26" s="16" t="s">
        <v>156</v>
      </c>
      <c r="C26" s="16" t="s">
        <v>565</v>
      </c>
      <c r="D26" s="17">
        <v>7.0</v>
      </c>
      <c r="E26" s="27" t="s">
        <v>25</v>
      </c>
      <c r="F26" s="16" t="s">
        <v>14</v>
      </c>
      <c r="G26" s="16" t="s">
        <v>15</v>
      </c>
      <c r="H26" s="17">
        <v>1014.0</v>
      </c>
      <c r="I26" s="28" t="s">
        <v>16</v>
      </c>
      <c r="J26" s="20" t="s">
        <v>506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2.5" customHeight="1">
      <c r="A27" s="21" t="s">
        <v>566</v>
      </c>
      <c r="B27" s="22" t="s">
        <v>567</v>
      </c>
      <c r="C27" s="22" t="s">
        <v>568</v>
      </c>
      <c r="D27" s="23">
        <v>7.0</v>
      </c>
      <c r="E27" s="24" t="s">
        <v>13</v>
      </c>
      <c r="F27" s="22" t="s">
        <v>53</v>
      </c>
      <c r="G27" s="22" t="s">
        <v>286</v>
      </c>
      <c r="H27" s="23">
        <v>1082.0</v>
      </c>
      <c r="I27" s="30" t="s">
        <v>61</v>
      </c>
      <c r="J27" s="26" t="s">
        <v>506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2.5" customHeight="1">
      <c r="A28" s="15" t="s">
        <v>569</v>
      </c>
      <c r="B28" s="16" t="s">
        <v>570</v>
      </c>
      <c r="C28" s="16" t="s">
        <v>134</v>
      </c>
      <c r="D28" s="17">
        <v>7.0</v>
      </c>
      <c r="E28" s="18" t="s">
        <v>13</v>
      </c>
      <c r="F28" s="16" t="s">
        <v>14</v>
      </c>
      <c r="G28" s="16" t="s">
        <v>15</v>
      </c>
      <c r="H28" s="17">
        <v>1014.0</v>
      </c>
      <c r="I28" s="28" t="s">
        <v>16</v>
      </c>
      <c r="J28" s="20" t="s">
        <v>506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2.5" customHeight="1">
      <c r="A29" s="21" t="s">
        <v>571</v>
      </c>
      <c r="B29" s="22" t="s">
        <v>572</v>
      </c>
      <c r="C29" s="22" t="s">
        <v>573</v>
      </c>
      <c r="D29" s="23">
        <v>7.0</v>
      </c>
      <c r="E29" s="29" t="s">
        <v>25</v>
      </c>
      <c r="F29" s="22" t="s">
        <v>53</v>
      </c>
      <c r="G29" s="22" t="s">
        <v>15</v>
      </c>
      <c r="H29" s="23">
        <v>1082.0</v>
      </c>
      <c r="I29" s="30" t="s">
        <v>61</v>
      </c>
      <c r="J29" s="26" t="s">
        <v>506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2.5" customHeight="1">
      <c r="A30" s="15" t="s">
        <v>574</v>
      </c>
      <c r="B30" s="16" t="s">
        <v>168</v>
      </c>
      <c r="C30" s="16" t="s">
        <v>68</v>
      </c>
      <c r="D30" s="17">
        <v>7.0</v>
      </c>
      <c r="E30" s="27" t="s">
        <v>25</v>
      </c>
      <c r="F30" s="16" t="s">
        <v>14</v>
      </c>
      <c r="G30" s="16" t="s">
        <v>15</v>
      </c>
      <c r="H30" s="17">
        <v>1223.0</v>
      </c>
      <c r="I30" s="19" t="s">
        <v>61</v>
      </c>
      <c r="J30" s="20" t="s">
        <v>506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2.5" customHeight="1">
      <c r="A31" s="21" t="s">
        <v>575</v>
      </c>
      <c r="B31" s="22" t="s">
        <v>576</v>
      </c>
      <c r="C31" s="22" t="s">
        <v>577</v>
      </c>
      <c r="D31" s="23">
        <v>7.0</v>
      </c>
      <c r="E31" s="29" t="s">
        <v>25</v>
      </c>
      <c r="F31" s="22" t="s">
        <v>14</v>
      </c>
      <c r="G31" s="22" t="s">
        <v>21</v>
      </c>
      <c r="H31" s="23">
        <v>1082.0</v>
      </c>
      <c r="I31" s="30" t="s">
        <v>61</v>
      </c>
      <c r="J31" s="26" t="s">
        <v>506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2.5" customHeight="1">
      <c r="A32" s="15" t="s">
        <v>578</v>
      </c>
      <c r="B32" s="16" t="s">
        <v>550</v>
      </c>
      <c r="C32" s="16" t="s">
        <v>579</v>
      </c>
      <c r="D32" s="17">
        <v>7.0</v>
      </c>
      <c r="E32" s="27" t="s">
        <v>25</v>
      </c>
      <c r="F32" s="16" t="s">
        <v>14</v>
      </c>
      <c r="G32" s="16" t="s">
        <v>15</v>
      </c>
      <c r="H32" s="17">
        <v>1226.0</v>
      </c>
      <c r="I32" s="19" t="s">
        <v>61</v>
      </c>
      <c r="J32" s="20" t="s">
        <v>506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2.5" customHeight="1">
      <c r="A33" s="21" t="s">
        <v>580</v>
      </c>
      <c r="B33" s="22" t="s">
        <v>581</v>
      </c>
      <c r="C33" s="22" t="s">
        <v>582</v>
      </c>
      <c r="D33" s="23">
        <v>7.0</v>
      </c>
      <c r="E33" s="24" t="s">
        <v>13</v>
      </c>
      <c r="F33" s="22" t="s">
        <v>14</v>
      </c>
      <c r="G33" s="22" t="s">
        <v>15</v>
      </c>
      <c r="H33" s="23">
        <v>1014.0</v>
      </c>
      <c r="I33" s="25" t="s">
        <v>16</v>
      </c>
      <c r="J33" s="26" t="s">
        <v>506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2.5" customHeight="1">
      <c r="A34" s="15" t="s">
        <v>583</v>
      </c>
      <c r="B34" s="16" t="s">
        <v>581</v>
      </c>
      <c r="C34" s="16" t="s">
        <v>584</v>
      </c>
      <c r="D34" s="17">
        <v>7.0</v>
      </c>
      <c r="E34" s="18" t="s">
        <v>13</v>
      </c>
      <c r="F34" s="16" t="s">
        <v>14</v>
      </c>
      <c r="G34" s="16" t="s">
        <v>15</v>
      </c>
      <c r="H34" s="17">
        <v>1014.0</v>
      </c>
      <c r="I34" s="28" t="s">
        <v>16</v>
      </c>
      <c r="J34" s="20" t="s">
        <v>506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2.5" customHeight="1">
      <c r="A35" s="21" t="s">
        <v>585</v>
      </c>
      <c r="B35" s="22" t="s">
        <v>180</v>
      </c>
      <c r="C35" s="22" t="s">
        <v>586</v>
      </c>
      <c r="D35" s="23">
        <v>7.0</v>
      </c>
      <c r="E35" s="29" t="s">
        <v>25</v>
      </c>
      <c r="F35" s="22" t="s">
        <v>14</v>
      </c>
      <c r="G35" s="22" t="s">
        <v>15</v>
      </c>
      <c r="H35" s="23">
        <v>1077.0</v>
      </c>
      <c r="I35" s="30" t="s">
        <v>61</v>
      </c>
      <c r="J35" s="26" t="s">
        <v>506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2.5" customHeight="1">
      <c r="A36" s="15" t="s">
        <v>587</v>
      </c>
      <c r="B36" s="16" t="s">
        <v>588</v>
      </c>
      <c r="C36" s="16" t="s">
        <v>497</v>
      </c>
      <c r="D36" s="17">
        <v>7.0</v>
      </c>
      <c r="E36" s="18" t="s">
        <v>13</v>
      </c>
      <c r="F36" s="16" t="s">
        <v>14</v>
      </c>
      <c r="G36" s="16" t="s">
        <v>15</v>
      </c>
      <c r="H36" s="17">
        <v>1099.0</v>
      </c>
      <c r="I36" s="28" t="s">
        <v>16</v>
      </c>
      <c r="J36" s="20" t="s">
        <v>506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2.5" customHeight="1">
      <c r="A37" s="21" t="s">
        <v>589</v>
      </c>
      <c r="B37" s="22" t="s">
        <v>590</v>
      </c>
      <c r="C37" s="22" t="s">
        <v>591</v>
      </c>
      <c r="D37" s="23">
        <v>7.0</v>
      </c>
      <c r="E37" s="24" t="s">
        <v>13</v>
      </c>
      <c r="F37" s="22" t="s">
        <v>14</v>
      </c>
      <c r="G37" s="22" t="s">
        <v>15</v>
      </c>
      <c r="H37" s="23">
        <v>1014.0</v>
      </c>
      <c r="I37" s="25" t="s">
        <v>16</v>
      </c>
      <c r="J37" s="26" t="s">
        <v>506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2.5" customHeight="1">
      <c r="A38" s="15" t="s">
        <v>592</v>
      </c>
      <c r="B38" s="16" t="s">
        <v>189</v>
      </c>
      <c r="C38" s="16" t="s">
        <v>157</v>
      </c>
      <c r="D38" s="17">
        <v>7.0</v>
      </c>
      <c r="E38" s="27" t="s">
        <v>25</v>
      </c>
      <c r="F38" s="16" t="s">
        <v>14</v>
      </c>
      <c r="G38" s="16" t="s">
        <v>29</v>
      </c>
      <c r="H38" s="17">
        <v>1099.0</v>
      </c>
      <c r="I38" s="28" t="s">
        <v>16</v>
      </c>
      <c r="J38" s="20" t="s">
        <v>506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2.5" customHeight="1">
      <c r="A39" s="21" t="s">
        <v>593</v>
      </c>
      <c r="B39" s="22" t="s">
        <v>594</v>
      </c>
      <c r="C39" s="22" t="s">
        <v>595</v>
      </c>
      <c r="D39" s="23">
        <v>7.0</v>
      </c>
      <c r="E39" s="29" t="s">
        <v>25</v>
      </c>
      <c r="F39" s="22" t="s">
        <v>14</v>
      </c>
      <c r="G39" s="22" t="s">
        <v>29</v>
      </c>
      <c r="H39" s="23">
        <v>1080.0</v>
      </c>
      <c r="I39" s="30" t="s">
        <v>61</v>
      </c>
      <c r="J39" s="26" t="s">
        <v>506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2.5" customHeight="1">
      <c r="A40" s="15" t="s">
        <v>596</v>
      </c>
      <c r="B40" s="16" t="s">
        <v>597</v>
      </c>
      <c r="C40" s="16" t="s">
        <v>598</v>
      </c>
      <c r="D40" s="17">
        <v>7.0</v>
      </c>
      <c r="E40" s="27" t="s">
        <v>25</v>
      </c>
      <c r="F40" s="16" t="s">
        <v>14</v>
      </c>
      <c r="G40" s="16" t="s">
        <v>15</v>
      </c>
      <c r="H40" s="17">
        <v>1014.0</v>
      </c>
      <c r="I40" s="28" t="s">
        <v>16</v>
      </c>
      <c r="J40" s="20" t="s">
        <v>506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2.5" customHeight="1">
      <c r="A41" s="21" t="s">
        <v>599</v>
      </c>
      <c r="B41" s="22" t="s">
        <v>600</v>
      </c>
      <c r="C41" s="22" t="s">
        <v>601</v>
      </c>
      <c r="D41" s="23">
        <v>7.0</v>
      </c>
      <c r="E41" s="29" t="s">
        <v>25</v>
      </c>
      <c r="F41" s="22" t="s">
        <v>14</v>
      </c>
      <c r="G41" s="22" t="s">
        <v>15</v>
      </c>
      <c r="H41" s="23">
        <v>1082.0</v>
      </c>
      <c r="I41" s="30" t="s">
        <v>61</v>
      </c>
      <c r="J41" s="26" t="s">
        <v>506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2.5" customHeight="1">
      <c r="A42" s="15" t="s">
        <v>602</v>
      </c>
      <c r="B42" s="16" t="s">
        <v>603</v>
      </c>
      <c r="C42" s="16" t="s">
        <v>604</v>
      </c>
      <c r="D42" s="17">
        <v>7.0</v>
      </c>
      <c r="E42" s="27" t="s">
        <v>25</v>
      </c>
      <c r="F42" s="16" t="s">
        <v>53</v>
      </c>
      <c r="G42" s="16" t="s">
        <v>15</v>
      </c>
      <c r="H42" s="17">
        <v>1226.0</v>
      </c>
      <c r="I42" s="19" t="s">
        <v>61</v>
      </c>
      <c r="J42" s="20" t="s">
        <v>506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2.5" customHeight="1">
      <c r="A43" s="21" t="s">
        <v>605</v>
      </c>
      <c r="B43" s="22" t="s">
        <v>606</v>
      </c>
      <c r="C43" s="22" t="s">
        <v>607</v>
      </c>
      <c r="D43" s="23">
        <v>7.0</v>
      </c>
      <c r="E43" s="29" t="s">
        <v>25</v>
      </c>
      <c r="F43" s="22" t="s">
        <v>14</v>
      </c>
      <c r="G43" s="22" t="s">
        <v>29</v>
      </c>
      <c r="H43" s="23">
        <v>1099.0</v>
      </c>
      <c r="I43" s="25" t="s">
        <v>16</v>
      </c>
      <c r="J43" s="26" t="s">
        <v>506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2.5" customHeight="1">
      <c r="A44" s="15" t="s">
        <v>608</v>
      </c>
      <c r="B44" s="16" t="s">
        <v>326</v>
      </c>
      <c r="C44" s="16" t="s">
        <v>230</v>
      </c>
      <c r="D44" s="17">
        <v>7.0</v>
      </c>
      <c r="E44" s="18" t="s">
        <v>13</v>
      </c>
      <c r="F44" s="16" t="s">
        <v>14</v>
      </c>
      <c r="G44" s="16" t="s">
        <v>15</v>
      </c>
      <c r="H44" s="17">
        <v>1014.0</v>
      </c>
      <c r="I44" s="28" t="s">
        <v>16</v>
      </c>
      <c r="J44" s="20" t="s">
        <v>506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2.5" customHeight="1">
      <c r="A45" s="21" t="s">
        <v>609</v>
      </c>
      <c r="B45" s="22" t="s">
        <v>610</v>
      </c>
      <c r="C45" s="22" t="s">
        <v>611</v>
      </c>
      <c r="D45" s="23">
        <v>7.0</v>
      </c>
      <c r="E45" s="24" t="s">
        <v>13</v>
      </c>
      <c r="F45" s="22" t="s">
        <v>14</v>
      </c>
      <c r="G45" s="22" t="s">
        <v>15</v>
      </c>
      <c r="H45" s="23">
        <v>1099.0</v>
      </c>
      <c r="I45" s="25" t="s">
        <v>16</v>
      </c>
      <c r="J45" s="26" t="s">
        <v>506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2.5" customHeight="1">
      <c r="A46" s="15" t="s">
        <v>612</v>
      </c>
      <c r="B46" s="16" t="s">
        <v>613</v>
      </c>
      <c r="C46" s="16" t="s">
        <v>614</v>
      </c>
      <c r="D46" s="17">
        <v>7.0</v>
      </c>
      <c r="E46" s="18" t="s">
        <v>13</v>
      </c>
      <c r="F46" s="16" t="s">
        <v>14</v>
      </c>
      <c r="G46" s="16" t="s">
        <v>21</v>
      </c>
      <c r="H46" s="17">
        <v>1099.0</v>
      </c>
      <c r="I46" s="28" t="s">
        <v>16</v>
      </c>
      <c r="J46" s="20" t="s">
        <v>506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2.5" customHeight="1">
      <c r="A47" s="21" t="s">
        <v>615</v>
      </c>
      <c r="B47" s="22" t="s">
        <v>616</v>
      </c>
      <c r="C47" s="22" t="s">
        <v>617</v>
      </c>
      <c r="D47" s="23">
        <v>7.0</v>
      </c>
      <c r="E47" s="29" t="s">
        <v>25</v>
      </c>
      <c r="F47" s="22" t="s">
        <v>14</v>
      </c>
      <c r="G47" s="22" t="s">
        <v>15</v>
      </c>
      <c r="H47" s="23">
        <v>1099.0</v>
      </c>
      <c r="I47" s="25" t="s">
        <v>16</v>
      </c>
      <c r="J47" s="26" t="s">
        <v>506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2.5" customHeight="1">
      <c r="A48" s="15" t="s">
        <v>618</v>
      </c>
      <c r="B48" s="16" t="s">
        <v>344</v>
      </c>
      <c r="C48" s="16" t="s">
        <v>619</v>
      </c>
      <c r="D48" s="17">
        <v>7.0</v>
      </c>
      <c r="E48" s="18" t="s">
        <v>13</v>
      </c>
      <c r="F48" s="16" t="s">
        <v>14</v>
      </c>
      <c r="G48" s="16" t="s">
        <v>15</v>
      </c>
      <c r="H48" s="17">
        <v>1082.0</v>
      </c>
      <c r="I48" s="19" t="s">
        <v>61</v>
      </c>
      <c r="J48" s="20" t="s">
        <v>506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2.5" customHeight="1">
      <c r="A49" s="21" t="s">
        <v>620</v>
      </c>
      <c r="B49" s="22" t="s">
        <v>621</v>
      </c>
      <c r="C49" s="22" t="s">
        <v>622</v>
      </c>
      <c r="D49" s="23">
        <v>7.0</v>
      </c>
      <c r="E49" s="29" t="s">
        <v>25</v>
      </c>
      <c r="F49" s="22" t="s">
        <v>14</v>
      </c>
      <c r="G49" s="22" t="s">
        <v>15</v>
      </c>
      <c r="H49" s="23">
        <v>1014.0</v>
      </c>
      <c r="I49" s="25" t="s">
        <v>16</v>
      </c>
      <c r="J49" s="26" t="s">
        <v>506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2.5" customHeight="1">
      <c r="A50" s="15" t="s">
        <v>623</v>
      </c>
      <c r="B50" s="16" t="s">
        <v>624</v>
      </c>
      <c r="C50" s="16" t="s">
        <v>625</v>
      </c>
      <c r="D50" s="17">
        <v>7.0</v>
      </c>
      <c r="E50" s="18" t="s">
        <v>13</v>
      </c>
      <c r="F50" s="16" t="s">
        <v>14</v>
      </c>
      <c r="G50" s="16" t="s">
        <v>15</v>
      </c>
      <c r="H50" s="17">
        <v>1099.0</v>
      </c>
      <c r="I50" s="28" t="s">
        <v>16</v>
      </c>
      <c r="J50" s="20" t="s">
        <v>506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2.5" customHeight="1">
      <c r="A51" s="21" t="s">
        <v>626</v>
      </c>
      <c r="B51" s="22" t="s">
        <v>217</v>
      </c>
      <c r="C51" s="22" t="s">
        <v>627</v>
      </c>
      <c r="D51" s="23">
        <v>7.0</v>
      </c>
      <c r="E51" s="24" t="s">
        <v>13</v>
      </c>
      <c r="F51" s="22" t="s">
        <v>14</v>
      </c>
      <c r="G51" s="22" t="s">
        <v>29</v>
      </c>
      <c r="H51" s="23">
        <v>1081.0</v>
      </c>
      <c r="I51" s="30" t="s">
        <v>61</v>
      </c>
      <c r="J51" s="26" t="s">
        <v>506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2.5" customHeight="1">
      <c r="A52" s="15" t="s">
        <v>628</v>
      </c>
      <c r="B52" s="16" t="s">
        <v>223</v>
      </c>
      <c r="C52" s="16" t="s">
        <v>629</v>
      </c>
      <c r="D52" s="17">
        <v>7.0</v>
      </c>
      <c r="E52" s="27" t="s">
        <v>25</v>
      </c>
      <c r="F52" s="16" t="s">
        <v>14</v>
      </c>
      <c r="G52" s="16" t="s">
        <v>15</v>
      </c>
      <c r="H52" s="17">
        <v>1223.0</v>
      </c>
      <c r="I52" s="19" t="s">
        <v>61</v>
      </c>
      <c r="J52" s="20" t="s">
        <v>506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2.5" customHeight="1">
      <c r="A53" s="21" t="s">
        <v>630</v>
      </c>
      <c r="B53" s="22" t="s">
        <v>631</v>
      </c>
      <c r="C53" s="22" t="s">
        <v>632</v>
      </c>
      <c r="D53" s="23">
        <v>7.0</v>
      </c>
      <c r="E53" s="29" t="s">
        <v>25</v>
      </c>
      <c r="F53" s="22" t="s">
        <v>14</v>
      </c>
      <c r="G53" s="22" t="s">
        <v>46</v>
      </c>
      <c r="H53" s="23">
        <v>1014.0</v>
      </c>
      <c r="I53" s="25" t="s">
        <v>16</v>
      </c>
      <c r="J53" s="26" t="s">
        <v>506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2.5" customHeight="1">
      <c r="A54" s="15" t="s">
        <v>633</v>
      </c>
      <c r="B54" s="16" t="s">
        <v>634</v>
      </c>
      <c r="C54" s="16" t="s">
        <v>635</v>
      </c>
      <c r="D54" s="17">
        <v>7.0</v>
      </c>
      <c r="E54" s="27" t="s">
        <v>25</v>
      </c>
      <c r="F54" s="16" t="s">
        <v>636</v>
      </c>
      <c r="G54" s="16" t="s">
        <v>15</v>
      </c>
      <c r="H54" s="17">
        <v>1082.0</v>
      </c>
      <c r="I54" s="19" t="s">
        <v>61</v>
      </c>
      <c r="J54" s="20" t="s">
        <v>506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2.5" customHeight="1">
      <c r="A55" s="21" t="s">
        <v>637</v>
      </c>
      <c r="B55" s="22" t="s">
        <v>364</v>
      </c>
      <c r="C55" s="22" t="s">
        <v>638</v>
      </c>
      <c r="D55" s="23">
        <v>7.0</v>
      </c>
      <c r="E55" s="29" t="s">
        <v>25</v>
      </c>
      <c r="F55" s="22" t="s">
        <v>14</v>
      </c>
      <c r="G55" s="22" t="s">
        <v>15</v>
      </c>
      <c r="H55" s="23">
        <v>1099.0</v>
      </c>
      <c r="I55" s="25" t="s">
        <v>16</v>
      </c>
      <c r="J55" s="26" t="s">
        <v>506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2.5" customHeight="1">
      <c r="A56" s="15" t="s">
        <v>639</v>
      </c>
      <c r="B56" s="16" t="s">
        <v>640</v>
      </c>
      <c r="C56" s="16" t="s">
        <v>641</v>
      </c>
      <c r="D56" s="17">
        <v>7.0</v>
      </c>
      <c r="E56" s="18" t="s">
        <v>13</v>
      </c>
      <c r="F56" s="16" t="s">
        <v>14</v>
      </c>
      <c r="G56" s="16" t="s">
        <v>15</v>
      </c>
      <c r="H56" s="17">
        <v>1099.0</v>
      </c>
      <c r="I56" s="28" t="s">
        <v>16</v>
      </c>
      <c r="J56" s="20" t="s">
        <v>506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2.5" customHeight="1">
      <c r="A57" s="21" t="s">
        <v>642</v>
      </c>
      <c r="B57" s="22" t="s">
        <v>643</v>
      </c>
      <c r="C57" s="22" t="s">
        <v>644</v>
      </c>
      <c r="D57" s="23">
        <v>7.0</v>
      </c>
      <c r="E57" s="29" t="s">
        <v>25</v>
      </c>
      <c r="F57" s="22" t="s">
        <v>14</v>
      </c>
      <c r="G57" s="22" t="s">
        <v>21</v>
      </c>
      <c r="H57" s="23">
        <v>1226.0</v>
      </c>
      <c r="I57" s="30" t="s">
        <v>61</v>
      </c>
      <c r="J57" s="26" t="s">
        <v>506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2.5" customHeight="1">
      <c r="A58" s="15" t="s">
        <v>645</v>
      </c>
      <c r="B58" s="16" t="s">
        <v>646</v>
      </c>
      <c r="C58" s="16" t="s">
        <v>293</v>
      </c>
      <c r="D58" s="17">
        <v>7.0</v>
      </c>
      <c r="E58" s="18" t="s">
        <v>13</v>
      </c>
      <c r="F58" s="16" t="s">
        <v>14</v>
      </c>
      <c r="G58" s="16" t="s">
        <v>15</v>
      </c>
      <c r="H58" s="17">
        <v>1081.0</v>
      </c>
      <c r="I58" s="19" t="s">
        <v>61</v>
      </c>
      <c r="J58" s="20" t="s">
        <v>506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2.5" customHeight="1">
      <c r="A59" s="21" t="s">
        <v>647</v>
      </c>
      <c r="B59" s="22" t="s">
        <v>648</v>
      </c>
      <c r="C59" s="22" t="s">
        <v>649</v>
      </c>
      <c r="D59" s="23">
        <v>7.0</v>
      </c>
      <c r="E59" s="29" t="s">
        <v>25</v>
      </c>
      <c r="F59" s="22" t="s">
        <v>14</v>
      </c>
      <c r="G59" s="22" t="s">
        <v>15</v>
      </c>
      <c r="H59" s="23">
        <v>1080.0</v>
      </c>
      <c r="I59" s="30" t="s">
        <v>61</v>
      </c>
      <c r="J59" s="26" t="s">
        <v>506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2.5" customHeight="1">
      <c r="A60" s="15" t="s">
        <v>650</v>
      </c>
      <c r="B60" s="16" t="s">
        <v>651</v>
      </c>
      <c r="C60" s="16" t="s">
        <v>652</v>
      </c>
      <c r="D60" s="17">
        <v>7.0</v>
      </c>
      <c r="E60" s="27" t="s">
        <v>25</v>
      </c>
      <c r="F60" s="16" t="s">
        <v>14</v>
      </c>
      <c r="G60" s="16" t="s">
        <v>15</v>
      </c>
      <c r="H60" s="17">
        <v>1223.0</v>
      </c>
      <c r="I60" s="19" t="s">
        <v>61</v>
      </c>
      <c r="J60" s="20" t="s">
        <v>506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22.5" customHeight="1">
      <c r="A61" s="21" t="s">
        <v>653</v>
      </c>
      <c r="B61" s="22" t="s">
        <v>654</v>
      </c>
      <c r="C61" s="22" t="s">
        <v>655</v>
      </c>
      <c r="D61" s="23">
        <v>7.0</v>
      </c>
      <c r="E61" s="24" t="s">
        <v>13</v>
      </c>
      <c r="F61" s="22" t="s">
        <v>14</v>
      </c>
      <c r="G61" s="22" t="s">
        <v>15</v>
      </c>
      <c r="H61" s="23">
        <v>1080.0</v>
      </c>
      <c r="I61" s="30" t="s">
        <v>61</v>
      </c>
      <c r="J61" s="26" t="s">
        <v>506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22.5" customHeight="1">
      <c r="A62" s="15" t="s">
        <v>656</v>
      </c>
      <c r="B62" s="16" t="s">
        <v>657</v>
      </c>
      <c r="C62" s="16" t="s">
        <v>658</v>
      </c>
      <c r="D62" s="17">
        <v>7.0</v>
      </c>
      <c r="E62" s="18" t="s">
        <v>13</v>
      </c>
      <c r="F62" s="16" t="s">
        <v>14</v>
      </c>
      <c r="G62" s="16" t="s">
        <v>15</v>
      </c>
      <c r="H62" s="17">
        <v>1014.0</v>
      </c>
      <c r="I62" s="28" t="s">
        <v>16</v>
      </c>
      <c r="J62" s="20" t="s">
        <v>506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22.5" customHeight="1">
      <c r="A63" s="21" t="s">
        <v>659</v>
      </c>
      <c r="B63" s="22" t="s">
        <v>55</v>
      </c>
      <c r="C63" s="22" t="s">
        <v>660</v>
      </c>
      <c r="D63" s="23">
        <v>7.0</v>
      </c>
      <c r="E63" s="29" t="s">
        <v>25</v>
      </c>
      <c r="F63" s="22" t="s">
        <v>14</v>
      </c>
      <c r="G63" s="22" t="s">
        <v>15</v>
      </c>
      <c r="H63" s="23">
        <v>1014.0</v>
      </c>
      <c r="I63" s="25" t="s">
        <v>16</v>
      </c>
      <c r="J63" s="26" t="s">
        <v>506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22.5" customHeight="1">
      <c r="A64" s="15" t="s">
        <v>661</v>
      </c>
      <c r="B64" s="16" t="s">
        <v>662</v>
      </c>
      <c r="C64" s="16" t="s">
        <v>663</v>
      </c>
      <c r="D64" s="17">
        <v>7.0</v>
      </c>
      <c r="E64" s="27" t="s">
        <v>25</v>
      </c>
      <c r="F64" s="16" t="s">
        <v>14</v>
      </c>
      <c r="G64" s="16" t="s">
        <v>15</v>
      </c>
      <c r="H64" s="17">
        <v>1226.0</v>
      </c>
      <c r="I64" s="19" t="s">
        <v>61</v>
      </c>
      <c r="J64" s="20" t="s">
        <v>506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22.5" customHeight="1">
      <c r="A65" s="31" t="s">
        <v>664</v>
      </c>
      <c r="B65" s="32" t="s">
        <v>665</v>
      </c>
      <c r="C65" s="32" t="s">
        <v>666</v>
      </c>
      <c r="D65" s="33">
        <v>7.0</v>
      </c>
      <c r="E65" s="34" t="s">
        <v>25</v>
      </c>
      <c r="F65" s="32" t="s">
        <v>14</v>
      </c>
      <c r="G65" s="32" t="s">
        <v>15</v>
      </c>
      <c r="H65" s="33">
        <v>1081.0</v>
      </c>
      <c r="I65" s="52" t="s">
        <v>61</v>
      </c>
      <c r="J65" s="36" t="s">
        <v>506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ataValidations>
    <dataValidation type="list" allowBlank="1" showDropDown="1" showErrorMessage="1" sqref="E2:E65">
      <formula1>"M,F"</formula1>
    </dataValidation>
    <dataValidation type="list" allowBlank="1" showDropDown="1" showErrorMessage="1" sqref="I2:I65">
      <formula1>"000325,000329"</formula1>
    </dataValidation>
    <dataValidation type="custom" allowBlank="1" showDropDown="1" sqref="D2:D65 H2:H65">
      <formula1>AND(ISNUMBER(D2),(NOT(OR(NOT(ISERROR(DATEVALUE(D2))), AND(ISNUMBER(D2), LEFT(CELL("format", D2))="D")))))</formula1>
    </dataValidation>
    <dataValidation allowBlank="1" showDropDown="1" sqref="A2:C65 F2:G65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3" t="str">
        <f>IFERROR(__xludf.DUMMYFUNCTION("QUERY({
  '21-22'!A1:J1000; 
  '22-23'!A2:J1000; 
  '23-24'!A2:J1000; 
  '24-25 '!A2:J1000; 
  '25-26 '!A2:J1000
}, ""SELECT * WHERE Col1 IS NOT NULL"")"),"State Student ID")</f>
        <v>State Student ID</v>
      </c>
      <c r="B1" s="53" t="str">
        <f>IFERROR(__xludf.DUMMYFUNCTION("""COMPUTED_VALUE"""),"Last Name")</f>
        <v>Last Name</v>
      </c>
      <c r="C1" s="53" t="str">
        <f>IFERROR(__xludf.DUMMYFUNCTION("""COMPUTED_VALUE"""),"First Name")</f>
        <v>First Name</v>
      </c>
      <c r="D1" s="53" t="str">
        <f>IFERROR(__xludf.DUMMYFUNCTION("""COMPUTED_VALUE"""),"Grade")</f>
        <v>Grade</v>
      </c>
      <c r="E1" s="53" t="str">
        <f>IFERROR(__xludf.DUMMYFUNCTION("""COMPUTED_VALUE"""),"Sex")</f>
        <v>Sex</v>
      </c>
      <c r="F1" s="53" t="str">
        <f>IFERROR(__xludf.DUMMYFUNCTION("""COMPUTED_VALUE"""),"Description_STU_ETH")</f>
        <v>Description_STU_ETH</v>
      </c>
      <c r="G1" s="53" t="str">
        <f>IFERROR(__xludf.DUMMYFUNCTION("""COMPUTED_VALUE"""),"Description_STU_RC1")</f>
        <v>Description_STU_RC1</v>
      </c>
      <c r="H1" s="53" t="str">
        <f>IFERROR(__xludf.DUMMYFUNCTION("""COMPUTED_VALUE"""),"Section#")</f>
        <v>Section#</v>
      </c>
      <c r="I1" s="53" t="str">
        <f>IFERROR(__xludf.DUMMYFUNCTION("""COMPUTED_VALUE"""),"Course ID")</f>
        <v>Course ID</v>
      </c>
      <c r="J1" s="53" t="str">
        <f>IFERROR(__xludf.DUMMYFUNCTION("""COMPUTED_VALUE"""),"Academic year")</f>
        <v>Academic year</v>
      </c>
    </row>
    <row r="2">
      <c r="A2" s="53" t="str">
        <f>IFERROR(__xludf.DUMMYFUNCTION("""COMPUTED_VALUE"""),"3212997197")</f>
        <v>3212997197</v>
      </c>
      <c r="B2" s="53" t="str">
        <f>IFERROR(__xludf.DUMMYFUNCTION("""COMPUTED_VALUE"""),"Albers")</f>
        <v>Albers</v>
      </c>
      <c r="C2" s="53" t="str">
        <f>IFERROR(__xludf.DUMMYFUNCTION("""COMPUTED_VALUE"""),"Adam")</f>
        <v>Adam</v>
      </c>
      <c r="D2" s="54">
        <f>IFERROR(__xludf.DUMMYFUNCTION("""COMPUTED_VALUE"""),7.0)</f>
        <v>7</v>
      </c>
      <c r="E2" s="53" t="str">
        <f>IFERROR(__xludf.DUMMYFUNCTION("""COMPUTED_VALUE"""),"M")</f>
        <v>M</v>
      </c>
      <c r="F2" s="53" t="str">
        <f>IFERROR(__xludf.DUMMYFUNCTION("""COMPUTED_VALUE"""),"No, not Hispanic or Latino")</f>
        <v>No, not Hispanic or Latino</v>
      </c>
      <c r="G2" s="53" t="str">
        <f>IFERROR(__xludf.DUMMYFUNCTION("""COMPUTED_VALUE"""),"White")</f>
        <v>White</v>
      </c>
      <c r="H2" s="54">
        <f>IFERROR(__xludf.DUMMYFUNCTION("""COMPUTED_VALUE"""),1111.0)</f>
        <v>1111</v>
      </c>
      <c r="I2" s="53" t="str">
        <f>IFERROR(__xludf.DUMMYFUNCTION("""COMPUTED_VALUE"""),"000329")</f>
        <v>000329</v>
      </c>
      <c r="J2" s="53" t="str">
        <f>IFERROR(__xludf.DUMMYFUNCTION("""COMPUTED_VALUE"""),"21-22")</f>
        <v>21-22</v>
      </c>
    </row>
    <row r="3">
      <c r="A3" s="53" t="str">
        <f>IFERROR(__xludf.DUMMYFUNCTION("""COMPUTED_VALUE"""),"9945837606")</f>
        <v>9945837606</v>
      </c>
      <c r="B3" s="53" t="str">
        <f>IFERROR(__xludf.DUMMYFUNCTION("""COMPUTED_VALUE"""),"Anglade")</f>
        <v>Anglade</v>
      </c>
      <c r="C3" s="53" t="str">
        <f>IFERROR(__xludf.DUMMYFUNCTION("""COMPUTED_VALUE"""),"Bertrand")</f>
        <v>Bertrand</v>
      </c>
      <c r="D3" s="54">
        <f>IFERROR(__xludf.DUMMYFUNCTION("""COMPUTED_VALUE"""),7.0)</f>
        <v>7</v>
      </c>
      <c r="E3" s="53" t="str">
        <f>IFERROR(__xludf.DUMMYFUNCTION("""COMPUTED_VALUE"""),"M")</f>
        <v>M</v>
      </c>
      <c r="F3" s="53" t="str">
        <f>IFERROR(__xludf.DUMMYFUNCTION("""COMPUTED_VALUE"""),"No, not Hispanic or Latino")</f>
        <v>No, not Hispanic or Latino</v>
      </c>
      <c r="G3" s="53" t="str">
        <f>IFERROR(__xludf.DUMMYFUNCTION("""COMPUTED_VALUE"""),"Black or African American")</f>
        <v>Black or African American</v>
      </c>
      <c r="H3" s="54">
        <f>IFERROR(__xludf.DUMMYFUNCTION("""COMPUTED_VALUE"""),1111.0)</f>
        <v>1111</v>
      </c>
      <c r="I3" s="53" t="str">
        <f>IFERROR(__xludf.DUMMYFUNCTION("""COMPUTED_VALUE"""),"000329")</f>
        <v>000329</v>
      </c>
      <c r="J3" s="53" t="str">
        <f>IFERROR(__xludf.DUMMYFUNCTION("""COMPUTED_VALUE"""),"21-22")</f>
        <v>21-22</v>
      </c>
    </row>
    <row r="4">
      <c r="A4" s="53" t="str">
        <f>IFERROR(__xludf.DUMMYFUNCTION("""COMPUTED_VALUE"""),"6534145506")</f>
        <v>6534145506</v>
      </c>
      <c r="B4" s="53" t="str">
        <f>IFERROR(__xludf.DUMMYFUNCTION("""COMPUTED_VALUE"""),"Bacusmo-Rohmer")</f>
        <v>Bacusmo-Rohmer</v>
      </c>
      <c r="C4" s="53" t="str">
        <f>IFERROR(__xludf.DUMMYFUNCTION("""COMPUTED_VALUE"""),"Ani")</f>
        <v>Ani</v>
      </c>
      <c r="D4" s="54">
        <f>IFERROR(__xludf.DUMMYFUNCTION("""COMPUTED_VALUE"""),7.0)</f>
        <v>7</v>
      </c>
      <c r="E4" s="53" t="str">
        <f>IFERROR(__xludf.DUMMYFUNCTION("""COMPUTED_VALUE"""),"F")</f>
        <v>F</v>
      </c>
      <c r="F4" s="53" t="str">
        <f>IFERROR(__xludf.DUMMYFUNCTION("""COMPUTED_VALUE"""),"No, not Hispanic or Latino")</f>
        <v>No, not Hispanic or Latino</v>
      </c>
      <c r="G4" s="53" t="str">
        <f>IFERROR(__xludf.DUMMYFUNCTION("""COMPUTED_VALUE"""),"White")</f>
        <v>White</v>
      </c>
      <c r="H4" s="54">
        <f>IFERROR(__xludf.DUMMYFUNCTION("""COMPUTED_VALUE"""),1111.0)</f>
        <v>1111</v>
      </c>
      <c r="I4" s="53" t="str">
        <f>IFERROR(__xludf.DUMMYFUNCTION("""COMPUTED_VALUE"""),"000329")</f>
        <v>000329</v>
      </c>
      <c r="J4" s="53" t="str">
        <f>IFERROR(__xludf.DUMMYFUNCTION("""COMPUTED_VALUE"""),"21-22")</f>
        <v>21-22</v>
      </c>
    </row>
    <row r="5">
      <c r="A5" s="53" t="str">
        <f>IFERROR(__xludf.DUMMYFUNCTION("""COMPUTED_VALUE"""),"8190762456")</f>
        <v>8190762456</v>
      </c>
      <c r="B5" s="53" t="str">
        <f>IFERROR(__xludf.DUMMYFUNCTION("""COMPUTED_VALUE"""),"Dev")</f>
        <v>Dev</v>
      </c>
      <c r="C5" s="53" t="str">
        <f>IFERROR(__xludf.DUMMYFUNCTION("""COMPUTED_VALUE"""),"Arya")</f>
        <v>Arya</v>
      </c>
      <c r="D5" s="54">
        <f>IFERROR(__xludf.DUMMYFUNCTION("""COMPUTED_VALUE"""),7.0)</f>
        <v>7</v>
      </c>
      <c r="E5" s="53" t="str">
        <f>IFERROR(__xludf.DUMMYFUNCTION("""COMPUTED_VALUE"""),"M")</f>
        <v>M</v>
      </c>
      <c r="F5" s="53" t="str">
        <f>IFERROR(__xludf.DUMMYFUNCTION("""COMPUTED_VALUE"""),"No, not Hispanic or Latino")</f>
        <v>No, not Hispanic or Latino</v>
      </c>
      <c r="G5" s="53" t="str">
        <f>IFERROR(__xludf.DUMMYFUNCTION("""COMPUTED_VALUE"""),"Asian Indian")</f>
        <v>Asian Indian</v>
      </c>
      <c r="H5" s="54">
        <f>IFERROR(__xludf.DUMMYFUNCTION("""COMPUTED_VALUE"""),1111.0)</f>
        <v>1111</v>
      </c>
      <c r="I5" s="53" t="str">
        <f>IFERROR(__xludf.DUMMYFUNCTION("""COMPUTED_VALUE"""),"000329")</f>
        <v>000329</v>
      </c>
      <c r="J5" s="53" t="str">
        <f>IFERROR(__xludf.DUMMYFUNCTION("""COMPUTED_VALUE"""),"21-22")</f>
        <v>21-22</v>
      </c>
    </row>
    <row r="6">
      <c r="A6" s="53" t="str">
        <f>IFERROR(__xludf.DUMMYFUNCTION("""COMPUTED_VALUE"""),"9429061937")</f>
        <v>9429061937</v>
      </c>
      <c r="B6" s="53" t="str">
        <f>IFERROR(__xludf.DUMMYFUNCTION("""COMPUTED_VALUE"""),"Jha")</f>
        <v>Jha</v>
      </c>
      <c r="C6" s="53" t="str">
        <f>IFERROR(__xludf.DUMMYFUNCTION("""COMPUTED_VALUE"""),"Anubhav")</f>
        <v>Anubhav</v>
      </c>
      <c r="D6" s="54">
        <f>IFERROR(__xludf.DUMMYFUNCTION("""COMPUTED_VALUE"""),7.0)</f>
        <v>7</v>
      </c>
      <c r="E6" s="53" t="str">
        <f>IFERROR(__xludf.DUMMYFUNCTION("""COMPUTED_VALUE"""),"M")</f>
        <v>M</v>
      </c>
      <c r="F6" s="53" t="str">
        <f>IFERROR(__xludf.DUMMYFUNCTION("""COMPUTED_VALUE"""),"No, not Hispanic or Latino")</f>
        <v>No, not Hispanic or Latino</v>
      </c>
      <c r="G6" s="53" t="str">
        <f>IFERROR(__xludf.DUMMYFUNCTION("""COMPUTED_VALUE"""),"Asian Indian")</f>
        <v>Asian Indian</v>
      </c>
      <c r="H6" s="54">
        <f>IFERROR(__xludf.DUMMYFUNCTION("""COMPUTED_VALUE"""),1111.0)</f>
        <v>1111</v>
      </c>
      <c r="I6" s="53" t="str">
        <f>IFERROR(__xludf.DUMMYFUNCTION("""COMPUTED_VALUE"""),"000329")</f>
        <v>000329</v>
      </c>
      <c r="J6" s="53" t="str">
        <f>IFERROR(__xludf.DUMMYFUNCTION("""COMPUTED_VALUE"""),"21-22")</f>
        <v>21-22</v>
      </c>
    </row>
    <row r="7">
      <c r="A7" s="53" t="str">
        <f>IFERROR(__xludf.DUMMYFUNCTION("""COMPUTED_VALUE"""),"3310621121")</f>
        <v>3310621121</v>
      </c>
      <c r="B7" s="53" t="str">
        <f>IFERROR(__xludf.DUMMYFUNCTION("""COMPUTED_VALUE"""),"Kosiek")</f>
        <v>Kosiek</v>
      </c>
      <c r="C7" s="53" t="str">
        <f>IFERROR(__xludf.DUMMYFUNCTION("""COMPUTED_VALUE"""),"Tanner")</f>
        <v>Tanner</v>
      </c>
      <c r="D7" s="54">
        <f>IFERROR(__xludf.DUMMYFUNCTION("""COMPUTED_VALUE"""),7.0)</f>
        <v>7</v>
      </c>
      <c r="E7" s="53" t="str">
        <f>IFERROR(__xludf.DUMMYFUNCTION("""COMPUTED_VALUE"""),"M")</f>
        <v>M</v>
      </c>
      <c r="F7" s="53" t="str">
        <f>IFERROR(__xludf.DUMMYFUNCTION("""COMPUTED_VALUE"""),"No, not Hispanic or Latino")</f>
        <v>No, not Hispanic or Latino</v>
      </c>
      <c r="G7" s="53" t="str">
        <f>IFERROR(__xludf.DUMMYFUNCTION("""COMPUTED_VALUE"""),"White")</f>
        <v>White</v>
      </c>
      <c r="H7" s="54">
        <f>IFERROR(__xludf.DUMMYFUNCTION("""COMPUTED_VALUE"""),1111.0)</f>
        <v>1111</v>
      </c>
      <c r="I7" s="53" t="str">
        <f>IFERROR(__xludf.DUMMYFUNCTION("""COMPUTED_VALUE"""),"000329")</f>
        <v>000329</v>
      </c>
      <c r="J7" s="53" t="str">
        <f>IFERROR(__xludf.DUMMYFUNCTION("""COMPUTED_VALUE"""),"21-22")</f>
        <v>21-22</v>
      </c>
    </row>
    <row r="8">
      <c r="A8" s="53" t="str">
        <f>IFERROR(__xludf.DUMMYFUNCTION("""COMPUTED_VALUE"""),"5413364346")</f>
        <v>5413364346</v>
      </c>
      <c r="B8" s="53" t="str">
        <f>IFERROR(__xludf.DUMMYFUNCTION("""COMPUTED_VALUE"""),"Lauster")</f>
        <v>Lauster</v>
      </c>
      <c r="C8" s="53" t="str">
        <f>IFERROR(__xludf.DUMMYFUNCTION("""COMPUTED_VALUE"""),"Abigail")</f>
        <v>Abigail</v>
      </c>
      <c r="D8" s="54">
        <f>IFERROR(__xludf.DUMMYFUNCTION("""COMPUTED_VALUE"""),7.0)</f>
        <v>7</v>
      </c>
      <c r="E8" s="53" t="str">
        <f>IFERROR(__xludf.DUMMYFUNCTION("""COMPUTED_VALUE"""),"F")</f>
        <v>F</v>
      </c>
      <c r="F8" s="53" t="str">
        <f>IFERROR(__xludf.DUMMYFUNCTION("""COMPUTED_VALUE"""),"No, not Hispanic or Latino")</f>
        <v>No, not Hispanic or Latino</v>
      </c>
      <c r="G8" s="53" t="str">
        <f>IFERROR(__xludf.DUMMYFUNCTION("""COMPUTED_VALUE"""),"White")</f>
        <v>White</v>
      </c>
      <c r="H8" s="54">
        <f>IFERROR(__xludf.DUMMYFUNCTION("""COMPUTED_VALUE"""),1111.0)</f>
        <v>1111</v>
      </c>
      <c r="I8" s="53" t="str">
        <f>IFERROR(__xludf.DUMMYFUNCTION("""COMPUTED_VALUE"""),"000329")</f>
        <v>000329</v>
      </c>
      <c r="J8" s="53" t="str">
        <f>IFERROR(__xludf.DUMMYFUNCTION("""COMPUTED_VALUE"""),"21-22")</f>
        <v>21-22</v>
      </c>
    </row>
    <row r="9">
      <c r="A9" s="53" t="str">
        <f>IFERROR(__xludf.DUMMYFUNCTION("""COMPUTED_VALUE"""),"1720010518")</f>
        <v>1720010518</v>
      </c>
      <c r="B9" s="53" t="str">
        <f>IFERROR(__xludf.DUMMYFUNCTION("""COMPUTED_VALUE"""),"Lee")</f>
        <v>Lee</v>
      </c>
      <c r="C9" s="53" t="str">
        <f>IFERROR(__xludf.DUMMYFUNCTION("""COMPUTED_VALUE"""),"Allegra")</f>
        <v>Allegra</v>
      </c>
      <c r="D9" s="54">
        <f>IFERROR(__xludf.DUMMYFUNCTION("""COMPUTED_VALUE"""),7.0)</f>
        <v>7</v>
      </c>
      <c r="E9" s="53" t="str">
        <f>IFERROR(__xludf.DUMMYFUNCTION("""COMPUTED_VALUE"""),"F")</f>
        <v>F</v>
      </c>
      <c r="F9" s="53" t="str">
        <f>IFERROR(__xludf.DUMMYFUNCTION("""COMPUTED_VALUE"""),"No, not Hispanic or Latino")</f>
        <v>No, not Hispanic or Latino</v>
      </c>
      <c r="G9" s="53" t="str">
        <f>IFERROR(__xludf.DUMMYFUNCTION("""COMPUTED_VALUE"""),"Korean")</f>
        <v>Korean</v>
      </c>
      <c r="H9" s="54">
        <f>IFERROR(__xludf.DUMMYFUNCTION("""COMPUTED_VALUE"""),1111.0)</f>
        <v>1111</v>
      </c>
      <c r="I9" s="53" t="str">
        <f>IFERROR(__xludf.DUMMYFUNCTION("""COMPUTED_VALUE"""),"000329")</f>
        <v>000329</v>
      </c>
      <c r="J9" s="53" t="str">
        <f>IFERROR(__xludf.DUMMYFUNCTION("""COMPUTED_VALUE"""),"21-22")</f>
        <v>21-22</v>
      </c>
    </row>
    <row r="10">
      <c r="A10" s="53" t="str">
        <f>IFERROR(__xludf.DUMMYFUNCTION("""COMPUTED_VALUE"""),"5171923326")</f>
        <v>5171923326</v>
      </c>
      <c r="B10" s="53" t="str">
        <f>IFERROR(__xludf.DUMMYFUNCTION("""COMPUTED_VALUE"""),"Liu")</f>
        <v>Liu</v>
      </c>
      <c r="C10" s="53" t="str">
        <f>IFERROR(__xludf.DUMMYFUNCTION("""COMPUTED_VALUE"""),"Yuxuan")</f>
        <v>Yuxuan</v>
      </c>
      <c r="D10" s="54">
        <f>IFERROR(__xludf.DUMMYFUNCTION("""COMPUTED_VALUE"""),7.0)</f>
        <v>7</v>
      </c>
      <c r="E10" s="53" t="str">
        <f>IFERROR(__xludf.DUMMYFUNCTION("""COMPUTED_VALUE"""),"M")</f>
        <v>M</v>
      </c>
      <c r="F10" s="53" t="str">
        <f>IFERROR(__xludf.DUMMYFUNCTION("""COMPUTED_VALUE"""),"No, not Hispanic or Latino")</f>
        <v>No, not Hispanic or Latino</v>
      </c>
      <c r="G10" s="53" t="str">
        <f>IFERROR(__xludf.DUMMYFUNCTION("""COMPUTED_VALUE"""),"Chinese")</f>
        <v>Chinese</v>
      </c>
      <c r="H10" s="54">
        <f>IFERROR(__xludf.DUMMYFUNCTION("""COMPUTED_VALUE"""),1111.0)</f>
        <v>1111</v>
      </c>
      <c r="I10" s="53" t="str">
        <f>IFERROR(__xludf.DUMMYFUNCTION("""COMPUTED_VALUE"""),"000329")</f>
        <v>000329</v>
      </c>
      <c r="J10" s="53" t="str">
        <f>IFERROR(__xludf.DUMMYFUNCTION("""COMPUTED_VALUE"""),"21-22")</f>
        <v>21-22</v>
      </c>
    </row>
    <row r="11">
      <c r="A11" s="53" t="str">
        <f>IFERROR(__xludf.DUMMYFUNCTION("""COMPUTED_VALUE"""),"6442190954")</f>
        <v>6442190954</v>
      </c>
      <c r="B11" s="53" t="str">
        <f>IFERROR(__xludf.DUMMYFUNCTION("""COMPUTED_VALUE"""),"Muppidi")</f>
        <v>Muppidi</v>
      </c>
      <c r="C11" s="53" t="str">
        <f>IFERROR(__xludf.DUMMYFUNCTION("""COMPUTED_VALUE"""),"Revanth")</f>
        <v>Revanth</v>
      </c>
      <c r="D11" s="54">
        <f>IFERROR(__xludf.DUMMYFUNCTION("""COMPUTED_VALUE"""),7.0)</f>
        <v>7</v>
      </c>
      <c r="E11" s="53" t="str">
        <f>IFERROR(__xludf.DUMMYFUNCTION("""COMPUTED_VALUE"""),"M")</f>
        <v>M</v>
      </c>
      <c r="F11" s="53" t="str">
        <f>IFERROR(__xludf.DUMMYFUNCTION("""COMPUTED_VALUE"""),"No, not Hispanic or Latino")</f>
        <v>No, not Hispanic or Latino</v>
      </c>
      <c r="G11" s="53" t="str">
        <f>IFERROR(__xludf.DUMMYFUNCTION("""COMPUTED_VALUE"""),"Asian Indian")</f>
        <v>Asian Indian</v>
      </c>
      <c r="H11" s="54">
        <f>IFERROR(__xludf.DUMMYFUNCTION("""COMPUTED_VALUE"""),1111.0)</f>
        <v>1111</v>
      </c>
      <c r="I11" s="53" t="str">
        <f>IFERROR(__xludf.DUMMYFUNCTION("""COMPUTED_VALUE"""),"000329")</f>
        <v>000329</v>
      </c>
      <c r="J11" s="53" t="str">
        <f>IFERROR(__xludf.DUMMYFUNCTION("""COMPUTED_VALUE"""),"21-22")</f>
        <v>21-22</v>
      </c>
    </row>
    <row r="12">
      <c r="A12" s="53" t="str">
        <f>IFERROR(__xludf.DUMMYFUNCTION("""COMPUTED_VALUE"""),"7029988727")</f>
        <v>7029988727</v>
      </c>
      <c r="B12" s="53" t="str">
        <f>IFERROR(__xludf.DUMMYFUNCTION("""COMPUTED_VALUE"""),"Puente")</f>
        <v>Puente</v>
      </c>
      <c r="C12" s="53" t="str">
        <f>IFERROR(__xludf.DUMMYFUNCTION("""COMPUTED_VALUE"""),"Daniel")</f>
        <v>Daniel</v>
      </c>
      <c r="D12" s="54">
        <f>IFERROR(__xludf.DUMMYFUNCTION("""COMPUTED_VALUE"""),7.0)</f>
        <v>7</v>
      </c>
      <c r="E12" s="53" t="str">
        <f>IFERROR(__xludf.DUMMYFUNCTION("""COMPUTED_VALUE"""),"M")</f>
        <v>M</v>
      </c>
      <c r="F12" s="53" t="str">
        <f>IFERROR(__xludf.DUMMYFUNCTION("""COMPUTED_VALUE"""),"Yes, Hispanic or Latino")</f>
        <v>Yes, Hispanic or Latino</v>
      </c>
      <c r="G12" s="53" t="str">
        <f>IFERROR(__xludf.DUMMYFUNCTION("""COMPUTED_VALUE"""),"White")</f>
        <v>White</v>
      </c>
      <c r="H12" s="54">
        <f>IFERROR(__xludf.DUMMYFUNCTION("""COMPUTED_VALUE"""),1111.0)</f>
        <v>1111</v>
      </c>
      <c r="I12" s="53" t="str">
        <f>IFERROR(__xludf.DUMMYFUNCTION("""COMPUTED_VALUE"""),"000329")</f>
        <v>000329</v>
      </c>
      <c r="J12" s="53" t="str">
        <f>IFERROR(__xludf.DUMMYFUNCTION("""COMPUTED_VALUE"""),"21-22")</f>
        <v>21-22</v>
      </c>
    </row>
    <row r="13">
      <c r="A13" s="53" t="str">
        <f>IFERROR(__xludf.DUMMYFUNCTION("""COMPUTED_VALUE"""),"3038009850")</f>
        <v>3038009850</v>
      </c>
      <c r="B13" s="53" t="str">
        <f>IFERROR(__xludf.DUMMYFUNCTION("""COMPUTED_VALUE"""),"Williams")</f>
        <v>Williams</v>
      </c>
      <c r="C13" s="53" t="str">
        <f>IFERROR(__xludf.DUMMYFUNCTION("""COMPUTED_VALUE"""),"Connor")</f>
        <v>Connor</v>
      </c>
      <c r="D13" s="54">
        <f>IFERROR(__xludf.DUMMYFUNCTION("""COMPUTED_VALUE"""),7.0)</f>
        <v>7</v>
      </c>
      <c r="E13" s="53" t="str">
        <f>IFERROR(__xludf.DUMMYFUNCTION("""COMPUTED_VALUE"""),"M")</f>
        <v>M</v>
      </c>
      <c r="F13" s="53" t="str">
        <f>IFERROR(__xludf.DUMMYFUNCTION("""COMPUTED_VALUE"""),"No, not Hispanic or Latino")</f>
        <v>No, not Hispanic or Latino</v>
      </c>
      <c r="G13" s="53" t="str">
        <f>IFERROR(__xludf.DUMMYFUNCTION("""COMPUTED_VALUE"""),"White")</f>
        <v>White</v>
      </c>
      <c r="H13" s="54">
        <f>IFERROR(__xludf.DUMMYFUNCTION("""COMPUTED_VALUE"""),1111.0)</f>
        <v>1111</v>
      </c>
      <c r="I13" s="53" t="str">
        <f>IFERROR(__xludf.DUMMYFUNCTION("""COMPUTED_VALUE"""),"000329")</f>
        <v>000329</v>
      </c>
      <c r="J13" s="53" t="str">
        <f>IFERROR(__xludf.DUMMYFUNCTION("""COMPUTED_VALUE"""),"21-22")</f>
        <v>21-22</v>
      </c>
    </row>
    <row r="14">
      <c r="A14" s="53" t="str">
        <f>IFERROR(__xludf.DUMMYFUNCTION("""COMPUTED_VALUE"""),"4976887454")</f>
        <v>4976887454</v>
      </c>
      <c r="B14" s="53" t="str">
        <f>IFERROR(__xludf.DUMMYFUNCTION("""COMPUTED_VALUE"""),"Alarcon")</f>
        <v>Alarcon</v>
      </c>
      <c r="C14" s="53" t="str">
        <f>IFERROR(__xludf.DUMMYFUNCTION("""COMPUTED_VALUE"""),"Tyler")</f>
        <v>Tyler</v>
      </c>
      <c r="D14" s="54">
        <f>IFERROR(__xludf.DUMMYFUNCTION("""COMPUTED_VALUE"""),7.0)</f>
        <v>7</v>
      </c>
      <c r="E14" s="53" t="str">
        <f>IFERROR(__xludf.DUMMYFUNCTION("""COMPUTED_VALUE"""),"M")</f>
        <v>M</v>
      </c>
      <c r="F14" s="53" t="str">
        <f>IFERROR(__xludf.DUMMYFUNCTION("""COMPUTED_VALUE"""),"Yes, Hispanic or Latino")</f>
        <v>Yes, Hispanic or Latino</v>
      </c>
      <c r="G14" s="53" t="str">
        <f>IFERROR(__xludf.DUMMYFUNCTION("""COMPUTED_VALUE"""),"White")</f>
        <v>White</v>
      </c>
      <c r="H14" s="54">
        <f>IFERROR(__xludf.DUMMYFUNCTION("""COMPUTED_VALUE"""),1109.0)</f>
        <v>1109</v>
      </c>
      <c r="I14" s="53" t="str">
        <f>IFERROR(__xludf.DUMMYFUNCTION("""COMPUTED_VALUE"""),"000325")</f>
        <v>000325</v>
      </c>
      <c r="J14" s="53" t="str">
        <f>IFERROR(__xludf.DUMMYFUNCTION("""COMPUTED_VALUE"""),"22-23")</f>
        <v>22-23</v>
      </c>
    </row>
    <row r="15">
      <c r="A15" s="53" t="str">
        <f>IFERROR(__xludf.DUMMYFUNCTION("""COMPUTED_VALUE"""),"4680924726")</f>
        <v>4680924726</v>
      </c>
      <c r="B15" s="53" t="str">
        <f>IFERROR(__xludf.DUMMYFUNCTION("""COMPUTED_VALUE"""),"Almallah")</f>
        <v>Almallah</v>
      </c>
      <c r="C15" s="53" t="str">
        <f>IFERROR(__xludf.DUMMYFUNCTION("""COMPUTED_VALUE"""),"Zyad")</f>
        <v>Zyad</v>
      </c>
      <c r="D15" s="54">
        <f>IFERROR(__xludf.DUMMYFUNCTION("""COMPUTED_VALUE"""),7.0)</f>
        <v>7</v>
      </c>
      <c r="E15" s="53" t="str">
        <f>IFERROR(__xludf.DUMMYFUNCTION("""COMPUTED_VALUE"""),"M")</f>
        <v>M</v>
      </c>
      <c r="F15" s="53" t="str">
        <f>IFERROR(__xludf.DUMMYFUNCTION("""COMPUTED_VALUE"""),"No, not Hispanic or Latino")</f>
        <v>No, not Hispanic or Latino</v>
      </c>
      <c r="G15" s="53" t="str">
        <f>IFERROR(__xludf.DUMMYFUNCTION("""COMPUTED_VALUE"""),"White")</f>
        <v>White</v>
      </c>
      <c r="H15" s="54">
        <f>IFERROR(__xludf.DUMMYFUNCTION("""COMPUTED_VALUE"""),1058.0)</f>
        <v>1058</v>
      </c>
      <c r="I15" s="53" t="str">
        <f>IFERROR(__xludf.DUMMYFUNCTION("""COMPUTED_VALUE"""),"000329")</f>
        <v>000329</v>
      </c>
      <c r="J15" s="53" t="str">
        <f>IFERROR(__xludf.DUMMYFUNCTION("""COMPUTED_VALUE"""),"22-23")</f>
        <v>22-23</v>
      </c>
    </row>
    <row r="16">
      <c r="A16" s="53" t="str">
        <f>IFERROR(__xludf.DUMMYFUNCTION("""COMPUTED_VALUE"""),"8714704781")</f>
        <v>8714704781</v>
      </c>
      <c r="B16" s="53" t="str">
        <f>IFERROR(__xludf.DUMMYFUNCTION("""COMPUTED_VALUE"""),"Arebalo")</f>
        <v>Arebalo</v>
      </c>
      <c r="C16" s="53" t="str">
        <f>IFERROR(__xludf.DUMMYFUNCTION("""COMPUTED_VALUE"""),"Lauren")</f>
        <v>Lauren</v>
      </c>
      <c r="D16" s="54">
        <f>IFERROR(__xludf.DUMMYFUNCTION("""COMPUTED_VALUE"""),7.0)</f>
        <v>7</v>
      </c>
      <c r="E16" s="53" t="str">
        <f>IFERROR(__xludf.DUMMYFUNCTION("""COMPUTED_VALUE"""),"F")</f>
        <v>F</v>
      </c>
      <c r="F16" s="53" t="str">
        <f>IFERROR(__xludf.DUMMYFUNCTION("""COMPUTED_VALUE"""),"No, not Hispanic or Latino")</f>
        <v>No, not Hispanic or Latino</v>
      </c>
      <c r="G16" s="53" t="str">
        <f>IFERROR(__xludf.DUMMYFUNCTION("""COMPUTED_VALUE"""),"White")</f>
        <v>White</v>
      </c>
      <c r="H16" s="54">
        <f>IFERROR(__xludf.DUMMYFUNCTION("""COMPUTED_VALUE"""),1058.0)</f>
        <v>1058</v>
      </c>
      <c r="I16" s="53" t="str">
        <f>IFERROR(__xludf.DUMMYFUNCTION("""COMPUTED_VALUE"""),"000329")</f>
        <v>000329</v>
      </c>
      <c r="J16" s="53" t="str">
        <f>IFERROR(__xludf.DUMMYFUNCTION("""COMPUTED_VALUE"""),"22-23")</f>
        <v>22-23</v>
      </c>
    </row>
    <row r="17">
      <c r="A17" s="53" t="str">
        <f>IFERROR(__xludf.DUMMYFUNCTION("""COMPUTED_VALUE"""),"2679815812")</f>
        <v>2679815812</v>
      </c>
      <c r="B17" s="53" t="str">
        <f>IFERROR(__xludf.DUMMYFUNCTION("""COMPUTED_VALUE"""),"Attri")</f>
        <v>Attri</v>
      </c>
      <c r="C17" s="53" t="str">
        <f>IFERROR(__xludf.DUMMYFUNCTION("""COMPUTED_VALUE"""),"Jayshan")</f>
        <v>Jayshan</v>
      </c>
      <c r="D17" s="54">
        <f>IFERROR(__xludf.DUMMYFUNCTION("""COMPUTED_VALUE"""),7.0)</f>
        <v>7</v>
      </c>
      <c r="E17" s="53" t="str">
        <f>IFERROR(__xludf.DUMMYFUNCTION("""COMPUTED_VALUE"""),"M")</f>
        <v>M</v>
      </c>
      <c r="F17" s="53" t="str">
        <f>IFERROR(__xludf.DUMMYFUNCTION("""COMPUTED_VALUE"""),"No, not Hispanic or Latino")</f>
        <v>No, not Hispanic or Latino</v>
      </c>
      <c r="G17" s="53" t="str">
        <f>IFERROR(__xludf.DUMMYFUNCTION("""COMPUTED_VALUE"""),"Asian Indian")</f>
        <v>Asian Indian</v>
      </c>
      <c r="H17" s="54">
        <f>IFERROR(__xludf.DUMMYFUNCTION("""COMPUTED_VALUE"""),1058.0)</f>
        <v>1058</v>
      </c>
      <c r="I17" s="53" t="str">
        <f>IFERROR(__xludf.DUMMYFUNCTION("""COMPUTED_VALUE"""),"000329")</f>
        <v>000329</v>
      </c>
      <c r="J17" s="53" t="str">
        <f>IFERROR(__xludf.DUMMYFUNCTION("""COMPUTED_VALUE"""),"22-23")</f>
        <v>22-23</v>
      </c>
    </row>
    <row r="18">
      <c r="A18" s="53" t="str">
        <f>IFERROR(__xludf.DUMMYFUNCTION("""COMPUTED_VALUE"""),"4187077288")</f>
        <v>4187077288</v>
      </c>
      <c r="B18" s="53" t="str">
        <f>IFERROR(__xludf.DUMMYFUNCTION("""COMPUTED_VALUE"""),"Brown")</f>
        <v>Brown</v>
      </c>
      <c r="C18" s="53" t="str">
        <f>IFERROR(__xludf.DUMMYFUNCTION("""COMPUTED_VALUE"""),"Ryan")</f>
        <v>Ryan</v>
      </c>
      <c r="D18" s="54">
        <f>IFERROR(__xludf.DUMMYFUNCTION("""COMPUTED_VALUE"""),7.0)</f>
        <v>7</v>
      </c>
      <c r="E18" s="53" t="str">
        <f>IFERROR(__xludf.DUMMYFUNCTION("""COMPUTED_VALUE"""),"M")</f>
        <v>M</v>
      </c>
      <c r="F18" s="53" t="str">
        <f>IFERROR(__xludf.DUMMYFUNCTION("""COMPUTED_VALUE"""),"No, not Hispanic or Latino")</f>
        <v>No, not Hispanic or Latino</v>
      </c>
      <c r="G18" s="53" t="str">
        <f>IFERROR(__xludf.DUMMYFUNCTION("""COMPUTED_VALUE"""),"White")</f>
        <v>White</v>
      </c>
      <c r="H18" s="54">
        <f>IFERROR(__xludf.DUMMYFUNCTION("""COMPUTED_VALUE"""),1058.0)</f>
        <v>1058</v>
      </c>
      <c r="I18" s="53" t="str">
        <f>IFERROR(__xludf.DUMMYFUNCTION("""COMPUTED_VALUE"""),"000329")</f>
        <v>000329</v>
      </c>
      <c r="J18" s="53" t="str">
        <f>IFERROR(__xludf.DUMMYFUNCTION("""COMPUTED_VALUE"""),"22-23")</f>
        <v>22-23</v>
      </c>
    </row>
    <row r="19">
      <c r="A19" s="53" t="str">
        <f>IFERROR(__xludf.DUMMYFUNCTION("""COMPUTED_VALUE"""),"4390212071")</f>
        <v>4390212071</v>
      </c>
      <c r="B19" s="53" t="str">
        <f>IFERROR(__xludf.DUMMYFUNCTION("""COMPUTED_VALUE"""),"Burgon")</f>
        <v>Burgon</v>
      </c>
      <c r="C19" s="53" t="str">
        <f>IFERROR(__xludf.DUMMYFUNCTION("""COMPUTED_VALUE"""),"Jane")</f>
        <v>Jane</v>
      </c>
      <c r="D19" s="54">
        <f>IFERROR(__xludf.DUMMYFUNCTION("""COMPUTED_VALUE"""),7.0)</f>
        <v>7</v>
      </c>
      <c r="E19" s="53" t="str">
        <f>IFERROR(__xludf.DUMMYFUNCTION("""COMPUTED_VALUE"""),"F")</f>
        <v>F</v>
      </c>
      <c r="F19" s="53" t="str">
        <f>IFERROR(__xludf.DUMMYFUNCTION("""COMPUTED_VALUE"""),"No, not Hispanic or Latino")</f>
        <v>No, not Hispanic or Latino</v>
      </c>
      <c r="G19" s="53" t="str">
        <f>IFERROR(__xludf.DUMMYFUNCTION("""COMPUTED_VALUE"""),"White")</f>
        <v>White</v>
      </c>
      <c r="H19" s="54">
        <f>IFERROR(__xludf.DUMMYFUNCTION("""COMPUTED_VALUE"""),1110.0)</f>
        <v>1110</v>
      </c>
      <c r="I19" s="53" t="str">
        <f>IFERROR(__xludf.DUMMYFUNCTION("""COMPUTED_VALUE"""),"000325")</f>
        <v>000325</v>
      </c>
      <c r="J19" s="53" t="str">
        <f>IFERROR(__xludf.DUMMYFUNCTION("""COMPUTED_VALUE"""),"22-23")</f>
        <v>22-23</v>
      </c>
    </row>
    <row r="20">
      <c r="A20" s="53" t="str">
        <f>IFERROR(__xludf.DUMMYFUNCTION("""COMPUTED_VALUE"""),"7513702492")</f>
        <v>7513702492</v>
      </c>
      <c r="B20" s="53" t="str">
        <f>IFERROR(__xludf.DUMMYFUNCTION("""COMPUTED_VALUE"""),"Campo")</f>
        <v>Campo</v>
      </c>
      <c r="C20" s="53" t="str">
        <f>IFERROR(__xludf.DUMMYFUNCTION("""COMPUTED_VALUE"""),"Lucia")</f>
        <v>Lucia</v>
      </c>
      <c r="D20" s="54">
        <f>IFERROR(__xludf.DUMMYFUNCTION("""COMPUTED_VALUE"""),7.0)</f>
        <v>7</v>
      </c>
      <c r="E20" s="53" t="str">
        <f>IFERROR(__xludf.DUMMYFUNCTION("""COMPUTED_VALUE"""),"F")</f>
        <v>F</v>
      </c>
      <c r="F20" s="53" t="str">
        <f>IFERROR(__xludf.DUMMYFUNCTION("""COMPUTED_VALUE"""),"No, not Hispanic or Latino")</f>
        <v>No, not Hispanic or Latino</v>
      </c>
      <c r="G20" s="53" t="str">
        <f>IFERROR(__xludf.DUMMYFUNCTION("""COMPUTED_VALUE"""),"Chinese")</f>
        <v>Chinese</v>
      </c>
      <c r="H20" s="54">
        <f>IFERROR(__xludf.DUMMYFUNCTION("""COMPUTED_VALUE"""),1058.0)</f>
        <v>1058</v>
      </c>
      <c r="I20" s="53" t="str">
        <f>IFERROR(__xludf.DUMMYFUNCTION("""COMPUTED_VALUE"""),"000329")</f>
        <v>000329</v>
      </c>
      <c r="J20" s="53" t="str">
        <f>IFERROR(__xludf.DUMMYFUNCTION("""COMPUTED_VALUE"""),"22-23")</f>
        <v>22-23</v>
      </c>
    </row>
    <row r="21">
      <c r="A21" s="53" t="str">
        <f>IFERROR(__xludf.DUMMYFUNCTION("""COMPUTED_VALUE"""),"7420262084")</f>
        <v>7420262084</v>
      </c>
      <c r="B21" s="53" t="str">
        <f>IFERROR(__xludf.DUMMYFUNCTION("""COMPUTED_VALUE"""),"Canellos")</f>
        <v>Canellos</v>
      </c>
      <c r="C21" s="53" t="str">
        <f>IFERROR(__xludf.DUMMYFUNCTION("""COMPUTED_VALUE"""),"Dregen")</f>
        <v>Dregen</v>
      </c>
      <c r="D21" s="54">
        <f>IFERROR(__xludf.DUMMYFUNCTION("""COMPUTED_VALUE"""),7.0)</f>
        <v>7</v>
      </c>
      <c r="E21" s="53" t="str">
        <f>IFERROR(__xludf.DUMMYFUNCTION("""COMPUTED_VALUE"""),"M")</f>
        <v>M</v>
      </c>
      <c r="F21" s="53" t="str">
        <f>IFERROR(__xludf.DUMMYFUNCTION("""COMPUTED_VALUE"""),"No, not Hispanic or Latino")</f>
        <v>No, not Hispanic or Latino</v>
      </c>
      <c r="G21" s="53" t="str">
        <f>IFERROR(__xludf.DUMMYFUNCTION("""COMPUTED_VALUE"""),"White")</f>
        <v>White</v>
      </c>
      <c r="H21" s="54">
        <f>IFERROR(__xludf.DUMMYFUNCTION("""COMPUTED_VALUE"""),1107.0)</f>
        <v>1107</v>
      </c>
      <c r="I21" s="53" t="str">
        <f>IFERROR(__xludf.DUMMYFUNCTION("""COMPUTED_VALUE"""),"000325")</f>
        <v>000325</v>
      </c>
      <c r="J21" s="53" t="str">
        <f>IFERROR(__xludf.DUMMYFUNCTION("""COMPUTED_VALUE"""),"22-23")</f>
        <v>22-23</v>
      </c>
    </row>
    <row r="22">
      <c r="A22" s="53" t="str">
        <f>IFERROR(__xludf.DUMMYFUNCTION("""COMPUTED_VALUE"""),"5026302371")</f>
        <v>5026302371</v>
      </c>
      <c r="B22" s="53" t="str">
        <f>IFERROR(__xludf.DUMMYFUNCTION("""COMPUTED_VALUE"""),"Carroll")</f>
        <v>Carroll</v>
      </c>
      <c r="C22" s="53" t="str">
        <f>IFERROR(__xludf.DUMMYFUNCTION("""COMPUTED_VALUE"""),"Sonia")</f>
        <v>Sonia</v>
      </c>
      <c r="D22" s="54">
        <f>IFERROR(__xludf.DUMMYFUNCTION("""COMPUTED_VALUE"""),7.0)</f>
        <v>7</v>
      </c>
      <c r="E22" s="53" t="str">
        <f>IFERROR(__xludf.DUMMYFUNCTION("""COMPUTED_VALUE"""),"F")</f>
        <v>F</v>
      </c>
      <c r="F22" s="53" t="str">
        <f>IFERROR(__xludf.DUMMYFUNCTION("""COMPUTED_VALUE"""),"No, not Hispanic or Latino")</f>
        <v>No, not Hispanic or Latino</v>
      </c>
      <c r="G22" s="53" t="str">
        <f>IFERROR(__xludf.DUMMYFUNCTION("""COMPUTED_VALUE"""),"White")</f>
        <v>White</v>
      </c>
      <c r="H22" s="54">
        <f>IFERROR(__xludf.DUMMYFUNCTION("""COMPUTED_VALUE"""),1058.0)</f>
        <v>1058</v>
      </c>
      <c r="I22" s="53" t="str">
        <f>IFERROR(__xludf.DUMMYFUNCTION("""COMPUTED_VALUE"""),"000329")</f>
        <v>000329</v>
      </c>
      <c r="J22" s="53" t="str">
        <f>IFERROR(__xludf.DUMMYFUNCTION("""COMPUTED_VALUE"""),"22-23")</f>
        <v>22-23</v>
      </c>
    </row>
    <row r="23">
      <c r="A23" s="53" t="str">
        <f>IFERROR(__xludf.DUMMYFUNCTION("""COMPUTED_VALUE"""),"7546451130")</f>
        <v>7546451130</v>
      </c>
      <c r="B23" s="53" t="str">
        <f>IFERROR(__xludf.DUMMYFUNCTION("""COMPUTED_VALUE"""),"Case")</f>
        <v>Case</v>
      </c>
      <c r="C23" s="53" t="str">
        <f>IFERROR(__xludf.DUMMYFUNCTION("""COMPUTED_VALUE"""),"Tyler")</f>
        <v>Tyler</v>
      </c>
      <c r="D23" s="54">
        <f>IFERROR(__xludf.DUMMYFUNCTION("""COMPUTED_VALUE"""),7.0)</f>
        <v>7</v>
      </c>
      <c r="E23" s="53" t="str">
        <f>IFERROR(__xludf.DUMMYFUNCTION("""COMPUTED_VALUE"""),"M")</f>
        <v>M</v>
      </c>
      <c r="F23" s="53" t="str">
        <f>IFERROR(__xludf.DUMMYFUNCTION("""COMPUTED_VALUE"""),"No, not Hispanic or Latino")</f>
        <v>No, not Hispanic or Latino</v>
      </c>
      <c r="G23" s="53" t="str">
        <f>IFERROR(__xludf.DUMMYFUNCTION("""COMPUTED_VALUE"""),"White")</f>
        <v>White</v>
      </c>
      <c r="H23" s="54">
        <f>IFERROR(__xludf.DUMMYFUNCTION("""COMPUTED_VALUE"""),1111.0)</f>
        <v>1111</v>
      </c>
      <c r="I23" s="53" t="str">
        <f>IFERROR(__xludf.DUMMYFUNCTION("""COMPUTED_VALUE"""),"000325")</f>
        <v>000325</v>
      </c>
      <c r="J23" s="53" t="str">
        <f>IFERROR(__xludf.DUMMYFUNCTION("""COMPUTED_VALUE"""),"22-23")</f>
        <v>22-23</v>
      </c>
    </row>
    <row r="24">
      <c r="A24" s="53" t="str">
        <f>IFERROR(__xludf.DUMMYFUNCTION("""COMPUTED_VALUE"""),"1155716774")</f>
        <v>1155716774</v>
      </c>
      <c r="B24" s="53" t="str">
        <f>IFERROR(__xludf.DUMMYFUNCTION("""COMPUTED_VALUE"""),"Chance")</f>
        <v>Chance</v>
      </c>
      <c r="C24" s="53" t="str">
        <f>IFERROR(__xludf.DUMMYFUNCTION("""COMPUTED_VALUE"""),"Hiro")</f>
        <v>Hiro</v>
      </c>
      <c r="D24" s="54">
        <f>IFERROR(__xludf.DUMMYFUNCTION("""COMPUTED_VALUE"""),7.0)</f>
        <v>7</v>
      </c>
      <c r="E24" s="53" t="str">
        <f>IFERROR(__xludf.DUMMYFUNCTION("""COMPUTED_VALUE"""),"M")</f>
        <v>M</v>
      </c>
      <c r="F24" s="53" t="str">
        <f>IFERROR(__xludf.DUMMYFUNCTION("""COMPUTED_VALUE"""),"No, not Hispanic or Latino")</f>
        <v>No, not Hispanic or Latino</v>
      </c>
      <c r="G24" s="53" t="str">
        <f>IFERROR(__xludf.DUMMYFUNCTION("""COMPUTED_VALUE"""),"Japanese")</f>
        <v>Japanese</v>
      </c>
      <c r="H24" s="54">
        <f>IFERROR(__xludf.DUMMYFUNCTION("""COMPUTED_VALUE"""),1058.0)</f>
        <v>1058</v>
      </c>
      <c r="I24" s="53" t="str">
        <f>IFERROR(__xludf.DUMMYFUNCTION("""COMPUTED_VALUE"""),"000329")</f>
        <v>000329</v>
      </c>
      <c r="J24" s="53" t="str">
        <f>IFERROR(__xludf.DUMMYFUNCTION("""COMPUTED_VALUE"""),"22-23")</f>
        <v>22-23</v>
      </c>
    </row>
    <row r="25">
      <c r="A25" s="53" t="str">
        <f>IFERROR(__xludf.DUMMYFUNCTION("""COMPUTED_VALUE"""),"1629553476")</f>
        <v>1629553476</v>
      </c>
      <c r="B25" s="53" t="str">
        <f>IFERROR(__xludf.DUMMYFUNCTION("""COMPUTED_VALUE"""),"Chaudhuri")</f>
        <v>Chaudhuri</v>
      </c>
      <c r="C25" s="53" t="str">
        <f>IFERROR(__xludf.DUMMYFUNCTION("""COMPUTED_VALUE"""),"Rayna")</f>
        <v>Rayna</v>
      </c>
      <c r="D25" s="54">
        <f>IFERROR(__xludf.DUMMYFUNCTION("""COMPUTED_VALUE"""),7.0)</f>
        <v>7</v>
      </c>
      <c r="E25" s="53" t="str">
        <f>IFERROR(__xludf.DUMMYFUNCTION("""COMPUTED_VALUE"""),"F")</f>
        <v>F</v>
      </c>
      <c r="F25" s="53" t="str">
        <f>IFERROR(__xludf.DUMMYFUNCTION("""COMPUTED_VALUE"""),"No, not Hispanic or Latino")</f>
        <v>No, not Hispanic or Latino</v>
      </c>
      <c r="G25" s="53" t="str">
        <f>IFERROR(__xludf.DUMMYFUNCTION("""COMPUTED_VALUE"""),"Asian Indian")</f>
        <v>Asian Indian</v>
      </c>
      <c r="H25" s="54">
        <f>IFERROR(__xludf.DUMMYFUNCTION("""COMPUTED_VALUE"""),1107.0)</f>
        <v>1107</v>
      </c>
      <c r="I25" s="53" t="str">
        <f>IFERROR(__xludf.DUMMYFUNCTION("""COMPUTED_VALUE"""),"000325")</f>
        <v>000325</v>
      </c>
      <c r="J25" s="53" t="str">
        <f>IFERROR(__xludf.DUMMYFUNCTION("""COMPUTED_VALUE"""),"22-23")</f>
        <v>22-23</v>
      </c>
    </row>
    <row r="26">
      <c r="A26" s="53" t="str">
        <f>IFERROR(__xludf.DUMMYFUNCTION("""COMPUTED_VALUE"""),"6311816831")</f>
        <v>6311816831</v>
      </c>
      <c r="B26" s="53" t="str">
        <f>IFERROR(__xludf.DUMMYFUNCTION("""COMPUTED_VALUE"""),"Cox")</f>
        <v>Cox</v>
      </c>
      <c r="C26" s="53" t="str">
        <f>IFERROR(__xludf.DUMMYFUNCTION("""COMPUTED_VALUE"""),"Noah")</f>
        <v>Noah</v>
      </c>
      <c r="D26" s="54">
        <f>IFERROR(__xludf.DUMMYFUNCTION("""COMPUTED_VALUE"""),7.0)</f>
        <v>7</v>
      </c>
      <c r="E26" s="53" t="str">
        <f>IFERROR(__xludf.DUMMYFUNCTION("""COMPUTED_VALUE"""),"M")</f>
        <v>M</v>
      </c>
      <c r="F26" s="53" t="str">
        <f>IFERROR(__xludf.DUMMYFUNCTION("""COMPUTED_VALUE"""),"No, not Hispanic or Latino")</f>
        <v>No, not Hispanic or Latino</v>
      </c>
      <c r="G26" s="53" t="str">
        <f>IFERROR(__xludf.DUMMYFUNCTION("""COMPUTED_VALUE"""),"Japanese")</f>
        <v>Japanese</v>
      </c>
      <c r="H26" s="54">
        <f>IFERROR(__xludf.DUMMYFUNCTION("""COMPUTED_VALUE"""),1109.0)</f>
        <v>1109</v>
      </c>
      <c r="I26" s="53" t="str">
        <f>IFERROR(__xludf.DUMMYFUNCTION("""COMPUTED_VALUE"""),"000325")</f>
        <v>000325</v>
      </c>
      <c r="J26" s="53" t="str">
        <f>IFERROR(__xludf.DUMMYFUNCTION("""COMPUTED_VALUE"""),"22-23")</f>
        <v>22-23</v>
      </c>
    </row>
    <row r="27">
      <c r="A27" s="53" t="str">
        <f>IFERROR(__xludf.DUMMYFUNCTION("""COMPUTED_VALUE"""),"7646139988")</f>
        <v>7646139988</v>
      </c>
      <c r="B27" s="53" t="str">
        <f>IFERROR(__xludf.DUMMYFUNCTION("""COMPUTED_VALUE"""),"Denmark")</f>
        <v>Denmark</v>
      </c>
      <c r="C27" s="53" t="str">
        <f>IFERROR(__xludf.DUMMYFUNCTION("""COMPUTED_VALUE"""),"Emma")</f>
        <v>Emma</v>
      </c>
      <c r="D27" s="54">
        <f>IFERROR(__xludf.DUMMYFUNCTION("""COMPUTED_VALUE"""),7.0)</f>
        <v>7</v>
      </c>
      <c r="E27" s="53" t="str">
        <f>IFERROR(__xludf.DUMMYFUNCTION("""COMPUTED_VALUE"""),"F")</f>
        <v>F</v>
      </c>
      <c r="F27" s="53" t="str">
        <f>IFERROR(__xludf.DUMMYFUNCTION("""COMPUTED_VALUE"""),"No, not Hispanic or Latino")</f>
        <v>No, not Hispanic or Latino</v>
      </c>
      <c r="G27" s="53" t="str">
        <f>IFERROR(__xludf.DUMMYFUNCTION("""COMPUTED_VALUE"""),"White")</f>
        <v>White</v>
      </c>
      <c r="H27" s="54">
        <f>IFERROR(__xludf.DUMMYFUNCTION("""COMPUTED_VALUE"""),1058.0)</f>
        <v>1058</v>
      </c>
      <c r="I27" s="53" t="str">
        <f>IFERROR(__xludf.DUMMYFUNCTION("""COMPUTED_VALUE"""),"000329")</f>
        <v>000329</v>
      </c>
      <c r="J27" s="53" t="str">
        <f>IFERROR(__xludf.DUMMYFUNCTION("""COMPUTED_VALUE"""),"22-23")</f>
        <v>22-23</v>
      </c>
    </row>
    <row r="28">
      <c r="A28" s="53" t="str">
        <f>IFERROR(__xludf.DUMMYFUNCTION("""COMPUTED_VALUE"""),"8451629460")</f>
        <v>8451629460</v>
      </c>
      <c r="B28" s="53" t="str">
        <f>IFERROR(__xludf.DUMMYFUNCTION("""COMPUTED_VALUE"""),"Dusinski")</f>
        <v>Dusinski</v>
      </c>
      <c r="C28" s="53" t="str">
        <f>IFERROR(__xludf.DUMMYFUNCTION("""COMPUTED_VALUE"""),"Ian")</f>
        <v>Ian</v>
      </c>
      <c r="D28" s="54">
        <f>IFERROR(__xludf.DUMMYFUNCTION("""COMPUTED_VALUE"""),7.0)</f>
        <v>7</v>
      </c>
      <c r="E28" s="53" t="str">
        <f>IFERROR(__xludf.DUMMYFUNCTION("""COMPUTED_VALUE"""),"M")</f>
        <v>M</v>
      </c>
      <c r="F28" s="53" t="str">
        <f>IFERROR(__xludf.DUMMYFUNCTION("""COMPUTED_VALUE"""),"No, not Hispanic or Latino")</f>
        <v>No, not Hispanic or Latino</v>
      </c>
      <c r="G28" s="53" t="str">
        <f>IFERROR(__xludf.DUMMYFUNCTION("""COMPUTED_VALUE"""),"White")</f>
        <v>White</v>
      </c>
      <c r="H28" s="54">
        <f>IFERROR(__xludf.DUMMYFUNCTION("""COMPUTED_VALUE"""),1058.0)</f>
        <v>1058</v>
      </c>
      <c r="I28" s="53" t="str">
        <f>IFERROR(__xludf.DUMMYFUNCTION("""COMPUTED_VALUE"""),"000329")</f>
        <v>000329</v>
      </c>
      <c r="J28" s="53" t="str">
        <f>IFERROR(__xludf.DUMMYFUNCTION("""COMPUTED_VALUE"""),"22-23")</f>
        <v>22-23</v>
      </c>
    </row>
    <row r="29">
      <c r="A29" s="53" t="str">
        <f>IFERROR(__xludf.DUMMYFUNCTION("""COMPUTED_VALUE"""),"7095756003")</f>
        <v>7095756003</v>
      </c>
      <c r="B29" s="53" t="str">
        <f>IFERROR(__xludf.DUMMYFUNCTION("""COMPUTED_VALUE"""),"Evens")</f>
        <v>Evens</v>
      </c>
      <c r="C29" s="53" t="str">
        <f>IFERROR(__xludf.DUMMYFUNCTION("""COMPUTED_VALUE"""),"Nathaniel")</f>
        <v>Nathaniel</v>
      </c>
      <c r="D29" s="54">
        <f>IFERROR(__xludf.DUMMYFUNCTION("""COMPUTED_VALUE"""),7.0)</f>
        <v>7</v>
      </c>
      <c r="E29" s="53" t="str">
        <f>IFERROR(__xludf.DUMMYFUNCTION("""COMPUTED_VALUE"""),"M")</f>
        <v>M</v>
      </c>
      <c r="F29" s="53" t="str">
        <f>IFERROR(__xludf.DUMMYFUNCTION("""COMPUTED_VALUE"""),"No, not Hispanic or Latino")</f>
        <v>No, not Hispanic or Latino</v>
      </c>
      <c r="G29" s="53" t="str">
        <f>IFERROR(__xludf.DUMMYFUNCTION("""COMPUTED_VALUE"""),"White")</f>
        <v>White</v>
      </c>
      <c r="H29" s="54">
        <f>IFERROR(__xludf.DUMMYFUNCTION("""COMPUTED_VALUE"""),1058.0)</f>
        <v>1058</v>
      </c>
      <c r="I29" s="53" t="str">
        <f>IFERROR(__xludf.DUMMYFUNCTION("""COMPUTED_VALUE"""),"000329")</f>
        <v>000329</v>
      </c>
      <c r="J29" s="53" t="str">
        <f>IFERROR(__xludf.DUMMYFUNCTION("""COMPUTED_VALUE"""),"22-23")</f>
        <v>22-23</v>
      </c>
    </row>
    <row r="30">
      <c r="A30" s="53" t="str">
        <f>IFERROR(__xludf.DUMMYFUNCTION("""COMPUTED_VALUE"""),"1008364173")</f>
        <v>1008364173</v>
      </c>
      <c r="B30" s="53" t="str">
        <f>IFERROR(__xludf.DUMMYFUNCTION("""COMPUTED_VALUE"""),"Fuette")</f>
        <v>Fuette</v>
      </c>
      <c r="C30" s="53" t="str">
        <f>IFERROR(__xludf.DUMMYFUNCTION("""COMPUTED_VALUE"""),"Isla")</f>
        <v>Isla</v>
      </c>
      <c r="D30" s="54">
        <f>IFERROR(__xludf.DUMMYFUNCTION("""COMPUTED_VALUE"""),7.0)</f>
        <v>7</v>
      </c>
      <c r="E30" s="53" t="str">
        <f>IFERROR(__xludf.DUMMYFUNCTION("""COMPUTED_VALUE"""),"F")</f>
        <v>F</v>
      </c>
      <c r="F30" s="53" t="str">
        <f>IFERROR(__xludf.DUMMYFUNCTION("""COMPUTED_VALUE"""),"No, not Hispanic or Latino")</f>
        <v>No, not Hispanic or Latino</v>
      </c>
      <c r="G30" s="53" t="str">
        <f>IFERROR(__xludf.DUMMYFUNCTION("""COMPUTED_VALUE"""),"Filipino")</f>
        <v>Filipino</v>
      </c>
      <c r="H30" s="54">
        <f>IFERROR(__xludf.DUMMYFUNCTION("""COMPUTED_VALUE"""),1110.0)</f>
        <v>1110</v>
      </c>
      <c r="I30" s="53" t="str">
        <f>IFERROR(__xludf.DUMMYFUNCTION("""COMPUTED_VALUE"""),"000325")</f>
        <v>000325</v>
      </c>
      <c r="J30" s="53" t="str">
        <f>IFERROR(__xludf.DUMMYFUNCTION("""COMPUTED_VALUE"""),"22-23")</f>
        <v>22-23</v>
      </c>
    </row>
    <row r="31">
      <c r="A31" s="53" t="str">
        <f>IFERROR(__xludf.DUMMYFUNCTION("""COMPUTED_VALUE"""),"5518141154")</f>
        <v>5518141154</v>
      </c>
      <c r="B31" s="53" t="str">
        <f>IFERROR(__xludf.DUMMYFUNCTION("""COMPUTED_VALUE"""),"Gan")</f>
        <v>Gan</v>
      </c>
      <c r="C31" s="53" t="str">
        <f>IFERROR(__xludf.DUMMYFUNCTION("""COMPUTED_VALUE"""),"Tina")</f>
        <v>Tina</v>
      </c>
      <c r="D31" s="54">
        <f>IFERROR(__xludf.DUMMYFUNCTION("""COMPUTED_VALUE"""),7.0)</f>
        <v>7</v>
      </c>
      <c r="E31" s="53" t="str">
        <f>IFERROR(__xludf.DUMMYFUNCTION("""COMPUTED_VALUE"""),"F")</f>
        <v>F</v>
      </c>
      <c r="F31" s="53" t="str">
        <f>IFERROR(__xludf.DUMMYFUNCTION("""COMPUTED_VALUE"""),"No, not Hispanic or Latino")</f>
        <v>No, not Hispanic or Latino</v>
      </c>
      <c r="G31" s="53" t="str">
        <f>IFERROR(__xludf.DUMMYFUNCTION("""COMPUTED_VALUE"""),"Chinese")</f>
        <v>Chinese</v>
      </c>
      <c r="H31" s="54">
        <f>IFERROR(__xludf.DUMMYFUNCTION("""COMPUTED_VALUE"""),1058.0)</f>
        <v>1058</v>
      </c>
      <c r="I31" s="53" t="str">
        <f>IFERROR(__xludf.DUMMYFUNCTION("""COMPUTED_VALUE"""),"000329")</f>
        <v>000329</v>
      </c>
      <c r="J31" s="53" t="str">
        <f>IFERROR(__xludf.DUMMYFUNCTION("""COMPUTED_VALUE"""),"22-23")</f>
        <v>22-23</v>
      </c>
    </row>
    <row r="32">
      <c r="A32" s="53" t="str">
        <f>IFERROR(__xludf.DUMMYFUNCTION("""COMPUTED_VALUE"""),"7076633951")</f>
        <v>7076633951</v>
      </c>
      <c r="B32" s="53" t="str">
        <f>IFERROR(__xludf.DUMMYFUNCTION("""COMPUTED_VALUE"""),"Ganorkar")</f>
        <v>Ganorkar</v>
      </c>
      <c r="C32" s="53" t="str">
        <f>IFERROR(__xludf.DUMMYFUNCTION("""COMPUTED_VALUE"""),"Madhukar")</f>
        <v>Madhukar</v>
      </c>
      <c r="D32" s="54">
        <f>IFERROR(__xludf.DUMMYFUNCTION("""COMPUTED_VALUE"""),7.0)</f>
        <v>7</v>
      </c>
      <c r="E32" s="53" t="str">
        <f>IFERROR(__xludf.DUMMYFUNCTION("""COMPUTED_VALUE"""),"M")</f>
        <v>M</v>
      </c>
      <c r="F32" s="53" t="str">
        <f>IFERROR(__xludf.DUMMYFUNCTION("""COMPUTED_VALUE"""),"No, not Hispanic or Latino")</f>
        <v>No, not Hispanic or Latino</v>
      </c>
      <c r="G32" s="53" t="str">
        <f>IFERROR(__xludf.DUMMYFUNCTION("""COMPUTED_VALUE"""),"White")</f>
        <v>White</v>
      </c>
      <c r="H32" s="54">
        <f>IFERROR(__xludf.DUMMYFUNCTION("""COMPUTED_VALUE"""),1109.0)</f>
        <v>1109</v>
      </c>
      <c r="I32" s="53" t="str">
        <f>IFERROR(__xludf.DUMMYFUNCTION("""COMPUTED_VALUE"""),"000325")</f>
        <v>000325</v>
      </c>
      <c r="J32" s="53" t="str">
        <f>IFERROR(__xludf.DUMMYFUNCTION("""COMPUTED_VALUE"""),"22-23")</f>
        <v>22-23</v>
      </c>
    </row>
    <row r="33">
      <c r="A33" s="53" t="str">
        <f>IFERROR(__xludf.DUMMYFUNCTION("""COMPUTED_VALUE"""),"9607691913")</f>
        <v>9607691913</v>
      </c>
      <c r="B33" s="53" t="str">
        <f>IFERROR(__xludf.DUMMYFUNCTION("""COMPUTED_VALUE"""),"Gazanchiyants")</f>
        <v>Gazanchiyants</v>
      </c>
      <c r="C33" s="53" t="str">
        <f>IFERROR(__xludf.DUMMYFUNCTION("""COMPUTED_VALUE"""),"Lukyan")</f>
        <v>Lukyan</v>
      </c>
      <c r="D33" s="54">
        <f>IFERROR(__xludf.DUMMYFUNCTION("""COMPUTED_VALUE"""),7.0)</f>
        <v>7</v>
      </c>
      <c r="E33" s="53" t="str">
        <f>IFERROR(__xludf.DUMMYFUNCTION("""COMPUTED_VALUE"""),"M")</f>
        <v>M</v>
      </c>
      <c r="F33" s="53" t="str">
        <f>IFERROR(__xludf.DUMMYFUNCTION("""COMPUTED_VALUE"""),"No, not Hispanic or Latino")</f>
        <v>No, not Hispanic or Latino</v>
      </c>
      <c r="G33" s="53" t="str">
        <f>IFERROR(__xludf.DUMMYFUNCTION("""COMPUTED_VALUE"""),"White")</f>
        <v>White</v>
      </c>
      <c r="H33" s="54">
        <f>IFERROR(__xludf.DUMMYFUNCTION("""COMPUTED_VALUE"""),1111.0)</f>
        <v>1111</v>
      </c>
      <c r="I33" s="53" t="str">
        <f>IFERROR(__xludf.DUMMYFUNCTION("""COMPUTED_VALUE"""),"000325")</f>
        <v>000325</v>
      </c>
      <c r="J33" s="53" t="str">
        <f>IFERROR(__xludf.DUMMYFUNCTION("""COMPUTED_VALUE"""),"22-23")</f>
        <v>22-23</v>
      </c>
    </row>
    <row r="34">
      <c r="A34" s="53" t="str">
        <f>IFERROR(__xludf.DUMMYFUNCTION("""COMPUTED_VALUE"""),"7947451743")</f>
        <v>7947451743</v>
      </c>
      <c r="B34" s="53" t="str">
        <f>IFERROR(__xludf.DUMMYFUNCTION("""COMPUTED_VALUE"""),"Gray")</f>
        <v>Gray</v>
      </c>
      <c r="C34" s="53" t="str">
        <f>IFERROR(__xludf.DUMMYFUNCTION("""COMPUTED_VALUE"""),"Lincoln")</f>
        <v>Lincoln</v>
      </c>
      <c r="D34" s="54">
        <f>IFERROR(__xludf.DUMMYFUNCTION("""COMPUTED_VALUE"""),7.0)</f>
        <v>7</v>
      </c>
      <c r="E34" s="53" t="str">
        <f>IFERROR(__xludf.DUMMYFUNCTION("""COMPUTED_VALUE"""),"M")</f>
        <v>M</v>
      </c>
      <c r="F34" s="53" t="str">
        <f>IFERROR(__xludf.DUMMYFUNCTION("""COMPUTED_VALUE"""),"No, not Hispanic or Latino")</f>
        <v>No, not Hispanic or Latino</v>
      </c>
      <c r="G34" s="53" t="str">
        <f>IFERROR(__xludf.DUMMYFUNCTION("""COMPUTED_VALUE"""),"White")</f>
        <v>White</v>
      </c>
      <c r="H34" s="54">
        <f>IFERROR(__xludf.DUMMYFUNCTION("""COMPUTED_VALUE"""),1110.0)</f>
        <v>1110</v>
      </c>
      <c r="I34" s="53" t="str">
        <f>IFERROR(__xludf.DUMMYFUNCTION("""COMPUTED_VALUE"""),"000325")</f>
        <v>000325</v>
      </c>
      <c r="J34" s="53" t="str">
        <f>IFERROR(__xludf.DUMMYFUNCTION("""COMPUTED_VALUE"""),"22-23")</f>
        <v>22-23</v>
      </c>
    </row>
    <row r="35">
      <c r="A35" s="53" t="str">
        <f>IFERROR(__xludf.DUMMYFUNCTION("""COMPUTED_VALUE"""),"6651159524")</f>
        <v>6651159524</v>
      </c>
      <c r="B35" s="53" t="str">
        <f>IFERROR(__xludf.DUMMYFUNCTION("""COMPUTED_VALUE"""),"Grinchenko")</f>
        <v>Grinchenko</v>
      </c>
      <c r="C35" s="53" t="str">
        <f>IFERROR(__xludf.DUMMYFUNCTION("""COMPUTED_VALUE"""),"Vadim")</f>
        <v>Vadim</v>
      </c>
      <c r="D35" s="54">
        <f>IFERROR(__xludf.DUMMYFUNCTION("""COMPUTED_VALUE"""),7.0)</f>
        <v>7</v>
      </c>
      <c r="E35" s="53" t="str">
        <f>IFERROR(__xludf.DUMMYFUNCTION("""COMPUTED_VALUE"""),"M")</f>
        <v>M</v>
      </c>
      <c r="F35" s="53" t="str">
        <f>IFERROR(__xludf.DUMMYFUNCTION("""COMPUTED_VALUE"""),"No, not Hispanic or Latino")</f>
        <v>No, not Hispanic or Latino</v>
      </c>
      <c r="G35" s="53" t="str">
        <f>IFERROR(__xludf.DUMMYFUNCTION("""COMPUTED_VALUE"""),"White")</f>
        <v>White</v>
      </c>
      <c r="H35" s="54">
        <f>IFERROR(__xludf.DUMMYFUNCTION("""COMPUTED_VALUE"""),1106.0)</f>
        <v>1106</v>
      </c>
      <c r="I35" s="53" t="str">
        <f>IFERROR(__xludf.DUMMYFUNCTION("""COMPUTED_VALUE"""),"000325")</f>
        <v>000325</v>
      </c>
      <c r="J35" s="53" t="str">
        <f>IFERROR(__xludf.DUMMYFUNCTION("""COMPUTED_VALUE"""),"22-23")</f>
        <v>22-23</v>
      </c>
    </row>
    <row r="36">
      <c r="A36" s="53" t="str">
        <f>IFERROR(__xludf.DUMMYFUNCTION("""COMPUTED_VALUE"""),"5998181872")</f>
        <v>5998181872</v>
      </c>
      <c r="B36" s="53" t="str">
        <f>IFERROR(__xludf.DUMMYFUNCTION("""COMPUTED_VALUE"""),"Hadden")</f>
        <v>Hadden</v>
      </c>
      <c r="C36" s="53" t="str">
        <f>IFERROR(__xludf.DUMMYFUNCTION("""COMPUTED_VALUE"""),"Emilio")</f>
        <v>Emilio</v>
      </c>
      <c r="D36" s="54">
        <f>IFERROR(__xludf.DUMMYFUNCTION("""COMPUTED_VALUE"""),7.0)</f>
        <v>7</v>
      </c>
      <c r="E36" s="53" t="str">
        <f>IFERROR(__xludf.DUMMYFUNCTION("""COMPUTED_VALUE"""),"M")</f>
        <v>M</v>
      </c>
      <c r="F36" s="53" t="str">
        <f>IFERROR(__xludf.DUMMYFUNCTION("""COMPUTED_VALUE"""),"Yes, Hispanic or Latino")</f>
        <v>Yes, Hispanic or Latino</v>
      </c>
      <c r="G36" s="53" t="str">
        <f>IFERROR(__xludf.DUMMYFUNCTION("""COMPUTED_VALUE"""),"White")</f>
        <v>White</v>
      </c>
      <c r="H36" s="54">
        <f>IFERROR(__xludf.DUMMYFUNCTION("""COMPUTED_VALUE"""),1058.0)</f>
        <v>1058</v>
      </c>
      <c r="I36" s="53" t="str">
        <f>IFERROR(__xludf.DUMMYFUNCTION("""COMPUTED_VALUE"""),"000329")</f>
        <v>000329</v>
      </c>
      <c r="J36" s="53" t="str">
        <f>IFERROR(__xludf.DUMMYFUNCTION("""COMPUTED_VALUE"""),"22-23")</f>
        <v>22-23</v>
      </c>
    </row>
    <row r="37">
      <c r="A37" s="53" t="str">
        <f>IFERROR(__xludf.DUMMYFUNCTION("""COMPUTED_VALUE"""),"7510316602")</f>
        <v>7510316602</v>
      </c>
      <c r="B37" s="53" t="str">
        <f>IFERROR(__xludf.DUMMYFUNCTION("""COMPUTED_VALUE"""),"Hamelin")</f>
        <v>Hamelin</v>
      </c>
      <c r="C37" s="53" t="str">
        <f>IFERROR(__xludf.DUMMYFUNCTION("""COMPUTED_VALUE"""),"Mei")</f>
        <v>Mei</v>
      </c>
      <c r="D37" s="54">
        <f>IFERROR(__xludf.DUMMYFUNCTION("""COMPUTED_VALUE"""),7.0)</f>
        <v>7</v>
      </c>
      <c r="E37" s="53" t="str">
        <f>IFERROR(__xludf.DUMMYFUNCTION("""COMPUTED_VALUE"""),"F")</f>
        <v>F</v>
      </c>
      <c r="F37" s="53" t="str">
        <f>IFERROR(__xludf.DUMMYFUNCTION("""COMPUTED_VALUE"""),"No, not Hispanic or Latino")</f>
        <v>No, not Hispanic or Latino</v>
      </c>
      <c r="G37" s="53" t="str">
        <f>IFERROR(__xludf.DUMMYFUNCTION("""COMPUTED_VALUE"""),"White")</f>
        <v>White</v>
      </c>
      <c r="H37" s="54">
        <f>IFERROR(__xludf.DUMMYFUNCTION("""COMPUTED_VALUE"""),1112.0)</f>
        <v>1112</v>
      </c>
      <c r="I37" s="53" t="str">
        <f>IFERROR(__xludf.DUMMYFUNCTION("""COMPUTED_VALUE"""),"000325")</f>
        <v>000325</v>
      </c>
      <c r="J37" s="53" t="str">
        <f>IFERROR(__xludf.DUMMYFUNCTION("""COMPUTED_VALUE"""),"22-23")</f>
        <v>22-23</v>
      </c>
    </row>
    <row r="38">
      <c r="A38" s="53" t="str">
        <f>IFERROR(__xludf.DUMMYFUNCTION("""COMPUTED_VALUE"""),"8622758744")</f>
        <v>8622758744</v>
      </c>
      <c r="B38" s="53" t="str">
        <f>IFERROR(__xludf.DUMMYFUNCTION("""COMPUTED_VALUE"""),"Henry")</f>
        <v>Henry</v>
      </c>
      <c r="C38" s="53" t="str">
        <f>IFERROR(__xludf.DUMMYFUNCTION("""COMPUTED_VALUE"""),"Ayla")</f>
        <v>Ayla</v>
      </c>
      <c r="D38" s="54">
        <f>IFERROR(__xludf.DUMMYFUNCTION("""COMPUTED_VALUE"""),7.0)</f>
        <v>7</v>
      </c>
      <c r="E38" s="53" t="str">
        <f>IFERROR(__xludf.DUMMYFUNCTION("""COMPUTED_VALUE"""),"F")</f>
        <v>F</v>
      </c>
      <c r="F38" s="53" t="str">
        <f>IFERROR(__xludf.DUMMYFUNCTION("""COMPUTED_VALUE"""),"No, not Hispanic or Latino")</f>
        <v>No, not Hispanic or Latino</v>
      </c>
      <c r="G38" s="53" t="str">
        <f>IFERROR(__xludf.DUMMYFUNCTION("""COMPUTED_VALUE"""),"White")</f>
        <v>White</v>
      </c>
      <c r="H38" s="54">
        <f>IFERROR(__xludf.DUMMYFUNCTION("""COMPUTED_VALUE"""),1058.0)</f>
        <v>1058</v>
      </c>
      <c r="I38" s="53" t="str">
        <f>IFERROR(__xludf.DUMMYFUNCTION("""COMPUTED_VALUE"""),"000329")</f>
        <v>000329</v>
      </c>
      <c r="J38" s="53" t="str">
        <f>IFERROR(__xludf.DUMMYFUNCTION("""COMPUTED_VALUE"""),"22-23")</f>
        <v>22-23</v>
      </c>
    </row>
    <row r="39">
      <c r="A39" s="53" t="str">
        <f>IFERROR(__xludf.DUMMYFUNCTION("""COMPUTED_VALUE"""),"2284886968")</f>
        <v>2284886968</v>
      </c>
      <c r="B39" s="53" t="str">
        <f>IFERROR(__xludf.DUMMYFUNCTION("""COMPUTED_VALUE"""),"Iyer")</f>
        <v>Iyer</v>
      </c>
      <c r="C39" s="53" t="str">
        <f>IFERROR(__xludf.DUMMYFUNCTION("""COMPUTED_VALUE"""),"Bodhi")</f>
        <v>Bodhi</v>
      </c>
      <c r="D39" s="54">
        <f>IFERROR(__xludf.DUMMYFUNCTION("""COMPUTED_VALUE"""),7.0)</f>
        <v>7</v>
      </c>
      <c r="E39" s="53" t="str">
        <f>IFERROR(__xludf.DUMMYFUNCTION("""COMPUTED_VALUE"""),"M")</f>
        <v>M</v>
      </c>
      <c r="F39" s="53" t="str">
        <f>IFERROR(__xludf.DUMMYFUNCTION("""COMPUTED_VALUE"""),"No, not Hispanic or Latino")</f>
        <v>No, not Hispanic or Latino</v>
      </c>
      <c r="G39" s="53" t="str">
        <f>IFERROR(__xludf.DUMMYFUNCTION("""COMPUTED_VALUE"""),"Asian Indian")</f>
        <v>Asian Indian</v>
      </c>
      <c r="H39" s="54">
        <f>IFERROR(__xludf.DUMMYFUNCTION("""COMPUTED_VALUE"""),1058.0)</f>
        <v>1058</v>
      </c>
      <c r="I39" s="53" t="str">
        <f>IFERROR(__xludf.DUMMYFUNCTION("""COMPUTED_VALUE"""),"000329")</f>
        <v>000329</v>
      </c>
      <c r="J39" s="53" t="str">
        <f>IFERROR(__xludf.DUMMYFUNCTION("""COMPUTED_VALUE"""),"22-23")</f>
        <v>22-23</v>
      </c>
    </row>
    <row r="40">
      <c r="A40" s="53" t="str">
        <f>IFERROR(__xludf.DUMMYFUNCTION("""COMPUTED_VALUE"""),"7187902255")</f>
        <v>7187902255</v>
      </c>
      <c r="B40" s="53" t="str">
        <f>IFERROR(__xludf.DUMMYFUNCTION("""COMPUTED_VALUE"""),"Kemp")</f>
        <v>Kemp</v>
      </c>
      <c r="C40" s="53" t="str">
        <f>IFERROR(__xludf.DUMMYFUNCTION("""COMPUTED_VALUE"""),"Midori")</f>
        <v>Midori</v>
      </c>
      <c r="D40" s="54">
        <f>IFERROR(__xludf.DUMMYFUNCTION("""COMPUTED_VALUE"""),7.0)</f>
        <v>7</v>
      </c>
      <c r="E40" s="53" t="str">
        <f>IFERROR(__xludf.DUMMYFUNCTION("""COMPUTED_VALUE"""),"F")</f>
        <v>F</v>
      </c>
      <c r="F40" s="53" t="str">
        <f>IFERROR(__xludf.DUMMYFUNCTION("""COMPUTED_VALUE"""),"No, not Hispanic or Latino")</f>
        <v>No, not Hispanic or Latino</v>
      </c>
      <c r="G40" s="53" t="str">
        <f>IFERROR(__xludf.DUMMYFUNCTION("""COMPUTED_VALUE"""),"Japanese")</f>
        <v>Japanese</v>
      </c>
      <c r="H40" s="54">
        <f>IFERROR(__xludf.DUMMYFUNCTION("""COMPUTED_VALUE"""),1111.0)</f>
        <v>1111</v>
      </c>
      <c r="I40" s="53" t="str">
        <f>IFERROR(__xludf.DUMMYFUNCTION("""COMPUTED_VALUE"""),"000325")</f>
        <v>000325</v>
      </c>
      <c r="J40" s="53" t="str">
        <f>IFERROR(__xludf.DUMMYFUNCTION("""COMPUTED_VALUE"""),"22-23")</f>
        <v>22-23</v>
      </c>
    </row>
    <row r="41">
      <c r="A41" s="53" t="str">
        <f>IFERROR(__xludf.DUMMYFUNCTION("""COMPUTED_VALUE"""),"4592007854")</f>
        <v>4592007854</v>
      </c>
      <c r="B41" s="53" t="str">
        <f>IFERROR(__xludf.DUMMYFUNCTION("""COMPUTED_VALUE"""),"Kurlan")</f>
        <v>Kurlan</v>
      </c>
      <c r="C41" s="53" t="str">
        <f>IFERROR(__xludf.DUMMYFUNCTION("""COMPUTED_VALUE"""),"Sophie")</f>
        <v>Sophie</v>
      </c>
      <c r="D41" s="54">
        <f>IFERROR(__xludf.DUMMYFUNCTION("""COMPUTED_VALUE"""),7.0)</f>
        <v>7</v>
      </c>
      <c r="E41" s="53" t="str">
        <f>IFERROR(__xludf.DUMMYFUNCTION("""COMPUTED_VALUE"""),"F")</f>
        <v>F</v>
      </c>
      <c r="F41" s="53" t="str">
        <f>IFERROR(__xludf.DUMMYFUNCTION("""COMPUTED_VALUE"""),"No, not Hispanic or Latino")</f>
        <v>No, not Hispanic or Latino</v>
      </c>
      <c r="G41" s="53" t="str">
        <f>IFERROR(__xludf.DUMMYFUNCTION("""COMPUTED_VALUE"""),"White")</f>
        <v>White</v>
      </c>
      <c r="H41" s="54">
        <f>IFERROR(__xludf.DUMMYFUNCTION("""COMPUTED_VALUE"""),1058.0)</f>
        <v>1058</v>
      </c>
      <c r="I41" s="53" t="str">
        <f>IFERROR(__xludf.DUMMYFUNCTION("""COMPUTED_VALUE"""),"000329")</f>
        <v>000329</v>
      </c>
      <c r="J41" s="53" t="str">
        <f>IFERROR(__xludf.DUMMYFUNCTION("""COMPUTED_VALUE"""),"22-23")</f>
        <v>22-23</v>
      </c>
    </row>
    <row r="42">
      <c r="A42" s="53" t="str">
        <f>IFERROR(__xludf.DUMMYFUNCTION("""COMPUTED_VALUE"""),"8253743747")</f>
        <v>8253743747</v>
      </c>
      <c r="B42" s="53" t="str">
        <f>IFERROR(__xludf.DUMMYFUNCTION("""COMPUTED_VALUE"""),"Lendler")</f>
        <v>Lendler</v>
      </c>
      <c r="C42" s="53" t="str">
        <f>IFERROR(__xludf.DUMMYFUNCTION("""COMPUTED_VALUE"""),"Dylan")</f>
        <v>Dylan</v>
      </c>
      <c r="D42" s="54">
        <f>IFERROR(__xludf.DUMMYFUNCTION("""COMPUTED_VALUE"""),7.0)</f>
        <v>7</v>
      </c>
      <c r="E42" s="53" t="str">
        <f>IFERROR(__xludf.DUMMYFUNCTION("""COMPUTED_VALUE"""),"M")</f>
        <v>M</v>
      </c>
      <c r="F42" s="53" t="str">
        <f>IFERROR(__xludf.DUMMYFUNCTION("""COMPUTED_VALUE"""),"No, not Hispanic or Latino")</f>
        <v>No, not Hispanic or Latino</v>
      </c>
      <c r="G42" s="53" t="str">
        <f>IFERROR(__xludf.DUMMYFUNCTION("""COMPUTED_VALUE"""),"White")</f>
        <v>White</v>
      </c>
      <c r="H42" s="54">
        <f>IFERROR(__xludf.DUMMYFUNCTION("""COMPUTED_VALUE"""),1058.0)</f>
        <v>1058</v>
      </c>
      <c r="I42" s="53" t="str">
        <f>IFERROR(__xludf.DUMMYFUNCTION("""COMPUTED_VALUE"""),"000329")</f>
        <v>000329</v>
      </c>
      <c r="J42" s="53" t="str">
        <f>IFERROR(__xludf.DUMMYFUNCTION("""COMPUTED_VALUE"""),"22-23")</f>
        <v>22-23</v>
      </c>
    </row>
    <row r="43">
      <c r="A43" s="53" t="str">
        <f>IFERROR(__xludf.DUMMYFUNCTION("""COMPUTED_VALUE"""),"9420870150")</f>
        <v>9420870150</v>
      </c>
      <c r="B43" s="53" t="str">
        <f>IFERROR(__xludf.DUMMYFUNCTION("""COMPUTED_VALUE"""),"Levy")</f>
        <v>Levy</v>
      </c>
      <c r="C43" s="53" t="str">
        <f>IFERROR(__xludf.DUMMYFUNCTION("""COMPUTED_VALUE"""),"Gabrian")</f>
        <v>Gabrian</v>
      </c>
      <c r="D43" s="54">
        <f>IFERROR(__xludf.DUMMYFUNCTION("""COMPUTED_VALUE"""),7.0)</f>
        <v>7</v>
      </c>
      <c r="E43" s="53" t="str">
        <f>IFERROR(__xludf.DUMMYFUNCTION("""COMPUTED_VALUE"""),"M")</f>
        <v>M</v>
      </c>
      <c r="F43" s="53" t="str">
        <f>IFERROR(__xludf.DUMMYFUNCTION("""COMPUTED_VALUE"""),"Yes, Hispanic or Latino")</f>
        <v>Yes, Hispanic or Latino</v>
      </c>
      <c r="G43" s="53" t="str">
        <f>IFERROR(__xludf.DUMMYFUNCTION("""COMPUTED_VALUE"""),"White")</f>
        <v>White</v>
      </c>
      <c r="H43" s="54">
        <f>IFERROR(__xludf.DUMMYFUNCTION("""COMPUTED_VALUE"""),1058.0)</f>
        <v>1058</v>
      </c>
      <c r="I43" s="53" t="str">
        <f>IFERROR(__xludf.DUMMYFUNCTION("""COMPUTED_VALUE"""),"000329")</f>
        <v>000329</v>
      </c>
      <c r="J43" s="53" t="str">
        <f>IFERROR(__xludf.DUMMYFUNCTION("""COMPUTED_VALUE"""),"22-23")</f>
        <v>22-23</v>
      </c>
    </row>
    <row r="44">
      <c r="A44" s="53" t="str">
        <f>IFERROR(__xludf.DUMMYFUNCTION("""COMPUTED_VALUE"""),"5924738867")</f>
        <v>5924738867</v>
      </c>
      <c r="B44" s="53" t="str">
        <f>IFERROR(__xludf.DUMMYFUNCTION("""COMPUTED_VALUE"""),"Lewis")</f>
        <v>Lewis</v>
      </c>
      <c r="C44" s="53" t="str">
        <f>IFERROR(__xludf.DUMMYFUNCTION("""COMPUTED_VALUE"""),"Nathaniel")</f>
        <v>Nathaniel</v>
      </c>
      <c r="D44" s="54">
        <f>IFERROR(__xludf.DUMMYFUNCTION("""COMPUTED_VALUE"""),7.0)</f>
        <v>7</v>
      </c>
      <c r="E44" s="53" t="str">
        <f>IFERROR(__xludf.DUMMYFUNCTION("""COMPUTED_VALUE"""),"M")</f>
        <v>M</v>
      </c>
      <c r="F44" s="53" t="str">
        <f>IFERROR(__xludf.DUMMYFUNCTION("""COMPUTED_VALUE"""),"No, not Hispanic or Latino")</f>
        <v>No, not Hispanic or Latino</v>
      </c>
      <c r="G44" s="53" t="str">
        <f>IFERROR(__xludf.DUMMYFUNCTION("""COMPUTED_VALUE"""),"White")</f>
        <v>White</v>
      </c>
      <c r="H44" s="54">
        <f>IFERROR(__xludf.DUMMYFUNCTION("""COMPUTED_VALUE"""),1058.0)</f>
        <v>1058</v>
      </c>
      <c r="I44" s="53" t="str">
        <f>IFERROR(__xludf.DUMMYFUNCTION("""COMPUTED_VALUE"""),"000329")</f>
        <v>000329</v>
      </c>
      <c r="J44" s="53" t="str">
        <f>IFERROR(__xludf.DUMMYFUNCTION("""COMPUTED_VALUE"""),"22-23")</f>
        <v>22-23</v>
      </c>
    </row>
    <row r="45">
      <c r="A45" s="53" t="str">
        <f>IFERROR(__xludf.DUMMYFUNCTION("""COMPUTED_VALUE"""),"5609329503")</f>
        <v>5609329503</v>
      </c>
      <c r="B45" s="53" t="str">
        <f>IFERROR(__xludf.DUMMYFUNCTION("""COMPUTED_VALUE"""),"Liu")</f>
        <v>Liu</v>
      </c>
      <c r="C45" s="53" t="str">
        <f>IFERROR(__xludf.DUMMYFUNCTION("""COMPUTED_VALUE"""),"Narissa")</f>
        <v>Narissa</v>
      </c>
      <c r="D45" s="54">
        <f>IFERROR(__xludf.DUMMYFUNCTION("""COMPUTED_VALUE"""),7.0)</f>
        <v>7</v>
      </c>
      <c r="E45" s="53" t="str">
        <f>IFERROR(__xludf.DUMMYFUNCTION("""COMPUTED_VALUE"""),"F")</f>
        <v>F</v>
      </c>
      <c r="F45" s="53" t="str">
        <f>IFERROR(__xludf.DUMMYFUNCTION("""COMPUTED_VALUE"""),"No, not Hispanic or Latino")</f>
        <v>No, not Hispanic or Latino</v>
      </c>
      <c r="G45" s="53" t="str">
        <f>IFERROR(__xludf.DUMMYFUNCTION("""COMPUTED_VALUE"""),"Chinese")</f>
        <v>Chinese</v>
      </c>
      <c r="H45" s="54">
        <f>IFERROR(__xludf.DUMMYFUNCTION("""COMPUTED_VALUE"""),1058.0)</f>
        <v>1058</v>
      </c>
      <c r="I45" s="53" t="str">
        <f>IFERROR(__xludf.DUMMYFUNCTION("""COMPUTED_VALUE"""),"000329")</f>
        <v>000329</v>
      </c>
      <c r="J45" s="53" t="str">
        <f>IFERROR(__xludf.DUMMYFUNCTION("""COMPUTED_VALUE"""),"22-23")</f>
        <v>22-23</v>
      </c>
    </row>
    <row r="46">
      <c r="A46" s="53" t="str">
        <f>IFERROR(__xludf.DUMMYFUNCTION("""COMPUTED_VALUE"""),"2369426477")</f>
        <v>2369426477</v>
      </c>
      <c r="B46" s="53" t="str">
        <f>IFERROR(__xludf.DUMMYFUNCTION("""COMPUTED_VALUE"""),"Marin")</f>
        <v>Marin</v>
      </c>
      <c r="C46" s="53" t="str">
        <f>IFERROR(__xludf.DUMMYFUNCTION("""COMPUTED_VALUE"""),"Ava")</f>
        <v>Ava</v>
      </c>
      <c r="D46" s="54">
        <f>IFERROR(__xludf.DUMMYFUNCTION("""COMPUTED_VALUE"""),7.0)</f>
        <v>7</v>
      </c>
      <c r="E46" s="53" t="str">
        <f>IFERROR(__xludf.DUMMYFUNCTION("""COMPUTED_VALUE"""),"F")</f>
        <v>F</v>
      </c>
      <c r="F46" s="53" t="str">
        <f>IFERROR(__xludf.DUMMYFUNCTION("""COMPUTED_VALUE"""),"No, not Hispanic or Latino")</f>
        <v>No, not Hispanic or Latino</v>
      </c>
      <c r="G46" s="53" t="str">
        <f>IFERROR(__xludf.DUMMYFUNCTION("""COMPUTED_VALUE"""),"White")</f>
        <v>White</v>
      </c>
      <c r="H46" s="54">
        <f>IFERROR(__xludf.DUMMYFUNCTION("""COMPUTED_VALUE"""),1058.0)</f>
        <v>1058</v>
      </c>
      <c r="I46" s="53" t="str">
        <f>IFERROR(__xludf.DUMMYFUNCTION("""COMPUTED_VALUE"""),"000329")</f>
        <v>000329</v>
      </c>
      <c r="J46" s="53" t="str">
        <f>IFERROR(__xludf.DUMMYFUNCTION("""COMPUTED_VALUE"""),"22-23")</f>
        <v>22-23</v>
      </c>
    </row>
    <row r="47">
      <c r="A47" s="53" t="str">
        <f>IFERROR(__xludf.DUMMYFUNCTION("""COMPUTED_VALUE"""),"1567569205")</f>
        <v>1567569205</v>
      </c>
      <c r="B47" s="53" t="str">
        <f>IFERROR(__xludf.DUMMYFUNCTION("""COMPUTED_VALUE"""),"Mastalerz")</f>
        <v>Mastalerz</v>
      </c>
      <c r="C47" s="53" t="str">
        <f>IFERROR(__xludf.DUMMYFUNCTION("""COMPUTED_VALUE"""),"Rowan")</f>
        <v>Rowan</v>
      </c>
      <c r="D47" s="54">
        <f>IFERROR(__xludf.DUMMYFUNCTION("""COMPUTED_VALUE"""),7.0)</f>
        <v>7</v>
      </c>
      <c r="E47" s="53" t="str">
        <f>IFERROR(__xludf.DUMMYFUNCTION("""COMPUTED_VALUE"""),"M")</f>
        <v>M</v>
      </c>
      <c r="F47" s="53" t="str">
        <f>IFERROR(__xludf.DUMMYFUNCTION("""COMPUTED_VALUE"""),"No, not Hispanic or Latino")</f>
        <v>No, not Hispanic or Latino</v>
      </c>
      <c r="G47" s="53" t="str">
        <f>IFERROR(__xludf.DUMMYFUNCTION("""COMPUTED_VALUE"""),"White")</f>
        <v>White</v>
      </c>
      <c r="H47" s="54">
        <f>IFERROR(__xludf.DUMMYFUNCTION("""COMPUTED_VALUE"""),1058.0)</f>
        <v>1058</v>
      </c>
      <c r="I47" s="53" t="str">
        <f>IFERROR(__xludf.DUMMYFUNCTION("""COMPUTED_VALUE"""),"000329")</f>
        <v>000329</v>
      </c>
      <c r="J47" s="53" t="str">
        <f>IFERROR(__xludf.DUMMYFUNCTION("""COMPUTED_VALUE"""),"22-23")</f>
        <v>22-23</v>
      </c>
    </row>
    <row r="48">
      <c r="A48" s="53" t="str">
        <f>IFERROR(__xludf.DUMMYFUNCTION("""COMPUTED_VALUE"""),"7068776286")</f>
        <v>7068776286</v>
      </c>
      <c r="B48" s="53" t="str">
        <f>IFERROR(__xludf.DUMMYFUNCTION("""COMPUTED_VALUE"""),"Matthies")</f>
        <v>Matthies</v>
      </c>
      <c r="C48" s="53" t="str">
        <f>IFERROR(__xludf.DUMMYFUNCTION("""COMPUTED_VALUE"""),"Lilian")</f>
        <v>Lilian</v>
      </c>
      <c r="D48" s="54">
        <f>IFERROR(__xludf.DUMMYFUNCTION("""COMPUTED_VALUE"""),7.0)</f>
        <v>7</v>
      </c>
      <c r="E48" s="53" t="str">
        <f>IFERROR(__xludf.DUMMYFUNCTION("""COMPUTED_VALUE"""),"F")</f>
        <v>F</v>
      </c>
      <c r="F48" s="53" t="str">
        <f>IFERROR(__xludf.DUMMYFUNCTION("""COMPUTED_VALUE"""),"No, not Hispanic or Latino")</f>
        <v>No, not Hispanic or Latino</v>
      </c>
      <c r="G48" s="53" t="str">
        <f>IFERROR(__xludf.DUMMYFUNCTION("""COMPUTED_VALUE"""),"White")</f>
        <v>White</v>
      </c>
      <c r="H48" s="54">
        <f>IFERROR(__xludf.DUMMYFUNCTION("""COMPUTED_VALUE"""),1110.0)</f>
        <v>1110</v>
      </c>
      <c r="I48" s="53" t="str">
        <f>IFERROR(__xludf.DUMMYFUNCTION("""COMPUTED_VALUE"""),"000325")</f>
        <v>000325</v>
      </c>
      <c r="J48" s="53" t="str">
        <f>IFERROR(__xludf.DUMMYFUNCTION("""COMPUTED_VALUE"""),"22-23")</f>
        <v>22-23</v>
      </c>
    </row>
    <row r="49">
      <c r="A49" s="53" t="str">
        <f>IFERROR(__xludf.DUMMYFUNCTION("""COMPUTED_VALUE"""),"4779788275")</f>
        <v>4779788275</v>
      </c>
      <c r="B49" s="53" t="str">
        <f>IFERROR(__xludf.DUMMYFUNCTION("""COMPUTED_VALUE"""),"Meneau")</f>
        <v>Meneau</v>
      </c>
      <c r="C49" s="53" t="str">
        <f>IFERROR(__xludf.DUMMYFUNCTION("""COMPUTED_VALUE"""),"Charles")</f>
        <v>Charles</v>
      </c>
      <c r="D49" s="54">
        <f>IFERROR(__xludf.DUMMYFUNCTION("""COMPUTED_VALUE"""),7.0)</f>
        <v>7</v>
      </c>
      <c r="E49" s="53" t="str">
        <f>IFERROR(__xludf.DUMMYFUNCTION("""COMPUTED_VALUE"""),"M")</f>
        <v>M</v>
      </c>
      <c r="F49" s="53" t="str">
        <f>IFERROR(__xludf.DUMMYFUNCTION("""COMPUTED_VALUE"""),"No, not Hispanic or Latino")</f>
        <v>No, not Hispanic or Latino</v>
      </c>
      <c r="G49" s="53" t="str">
        <f>IFERROR(__xludf.DUMMYFUNCTION("""COMPUTED_VALUE"""),"White")</f>
        <v>White</v>
      </c>
      <c r="H49" s="54">
        <f>IFERROR(__xludf.DUMMYFUNCTION("""COMPUTED_VALUE"""),1111.0)</f>
        <v>1111</v>
      </c>
      <c r="I49" s="53" t="str">
        <f>IFERROR(__xludf.DUMMYFUNCTION("""COMPUTED_VALUE"""),"000325")</f>
        <v>000325</v>
      </c>
      <c r="J49" s="53" t="str">
        <f>IFERROR(__xludf.DUMMYFUNCTION("""COMPUTED_VALUE"""),"22-23")</f>
        <v>22-23</v>
      </c>
    </row>
    <row r="50">
      <c r="A50" s="53" t="str">
        <f>IFERROR(__xludf.DUMMYFUNCTION("""COMPUTED_VALUE"""),"5146216229")</f>
        <v>5146216229</v>
      </c>
      <c r="B50" s="53" t="str">
        <f>IFERROR(__xludf.DUMMYFUNCTION("""COMPUTED_VALUE"""),"Minnich")</f>
        <v>Minnich</v>
      </c>
      <c r="C50" s="53" t="str">
        <f>IFERROR(__xludf.DUMMYFUNCTION("""COMPUTED_VALUE"""),"Ethan")</f>
        <v>Ethan</v>
      </c>
      <c r="D50" s="54">
        <f>IFERROR(__xludf.DUMMYFUNCTION("""COMPUTED_VALUE"""),7.0)</f>
        <v>7</v>
      </c>
      <c r="E50" s="53" t="str">
        <f>IFERROR(__xludf.DUMMYFUNCTION("""COMPUTED_VALUE"""),"M")</f>
        <v>M</v>
      </c>
      <c r="F50" s="53" t="str">
        <f>IFERROR(__xludf.DUMMYFUNCTION("""COMPUTED_VALUE"""),"No, not Hispanic or Latino")</f>
        <v>No, not Hispanic or Latino</v>
      </c>
      <c r="G50" s="53" t="str">
        <f>IFERROR(__xludf.DUMMYFUNCTION("""COMPUTED_VALUE"""),"White")</f>
        <v>White</v>
      </c>
      <c r="H50" s="54">
        <f>IFERROR(__xludf.DUMMYFUNCTION("""COMPUTED_VALUE"""),1058.0)</f>
        <v>1058</v>
      </c>
      <c r="I50" s="53" t="str">
        <f>IFERROR(__xludf.DUMMYFUNCTION("""COMPUTED_VALUE"""),"000329")</f>
        <v>000329</v>
      </c>
      <c r="J50" s="53" t="str">
        <f>IFERROR(__xludf.DUMMYFUNCTION("""COMPUTED_VALUE"""),"22-23")</f>
        <v>22-23</v>
      </c>
    </row>
    <row r="51">
      <c r="A51" s="53" t="str">
        <f>IFERROR(__xludf.DUMMYFUNCTION("""COMPUTED_VALUE"""),"2956524748")</f>
        <v>2956524748</v>
      </c>
      <c r="B51" s="53" t="str">
        <f>IFERROR(__xludf.DUMMYFUNCTION("""COMPUTED_VALUE"""),"Molloy")</f>
        <v>Molloy</v>
      </c>
      <c r="C51" s="53" t="str">
        <f>IFERROR(__xludf.DUMMYFUNCTION("""COMPUTED_VALUE"""),"Daniel")</f>
        <v>Daniel</v>
      </c>
      <c r="D51" s="54">
        <f>IFERROR(__xludf.DUMMYFUNCTION("""COMPUTED_VALUE"""),7.0)</f>
        <v>7</v>
      </c>
      <c r="E51" s="53" t="str">
        <f>IFERROR(__xludf.DUMMYFUNCTION("""COMPUTED_VALUE"""),"M")</f>
        <v>M</v>
      </c>
      <c r="F51" s="53" t="str">
        <f>IFERROR(__xludf.DUMMYFUNCTION("""COMPUTED_VALUE"""),"No, not Hispanic or Latino")</f>
        <v>No, not Hispanic or Latino</v>
      </c>
      <c r="G51" s="53" t="str">
        <f>IFERROR(__xludf.DUMMYFUNCTION("""COMPUTED_VALUE"""),"Samoan")</f>
        <v>Samoan</v>
      </c>
      <c r="H51" s="54">
        <f>IFERROR(__xludf.DUMMYFUNCTION("""COMPUTED_VALUE"""),1109.0)</f>
        <v>1109</v>
      </c>
      <c r="I51" s="53" t="str">
        <f>IFERROR(__xludf.DUMMYFUNCTION("""COMPUTED_VALUE"""),"000325")</f>
        <v>000325</v>
      </c>
      <c r="J51" s="53" t="str">
        <f>IFERROR(__xludf.DUMMYFUNCTION("""COMPUTED_VALUE"""),"22-23")</f>
        <v>22-23</v>
      </c>
    </row>
    <row r="52">
      <c r="A52" s="53" t="str">
        <f>IFERROR(__xludf.DUMMYFUNCTION("""COMPUTED_VALUE"""),"5180354324")</f>
        <v>5180354324</v>
      </c>
      <c r="B52" s="53" t="str">
        <f>IFERROR(__xludf.DUMMYFUNCTION("""COMPUTED_VALUE"""),"Moshashaee")</f>
        <v>Moshashaee</v>
      </c>
      <c r="C52" s="53" t="str">
        <f>IFERROR(__xludf.DUMMYFUNCTION("""COMPUTED_VALUE"""),"Deanna")</f>
        <v>Deanna</v>
      </c>
      <c r="D52" s="54">
        <f>IFERROR(__xludf.DUMMYFUNCTION("""COMPUTED_VALUE"""),7.0)</f>
        <v>7</v>
      </c>
      <c r="E52" s="53" t="str">
        <f>IFERROR(__xludf.DUMMYFUNCTION("""COMPUTED_VALUE"""),"F")</f>
        <v>F</v>
      </c>
      <c r="F52" s="53" t="str">
        <f>IFERROR(__xludf.DUMMYFUNCTION("""COMPUTED_VALUE"""),"No, not Hispanic or Latino")</f>
        <v>No, not Hispanic or Latino</v>
      </c>
      <c r="G52" s="53" t="str">
        <f>IFERROR(__xludf.DUMMYFUNCTION("""COMPUTED_VALUE"""),"White")</f>
        <v>White</v>
      </c>
      <c r="H52" s="54">
        <f>IFERROR(__xludf.DUMMYFUNCTION("""COMPUTED_VALUE"""),1112.0)</f>
        <v>1112</v>
      </c>
      <c r="I52" s="53" t="str">
        <f>IFERROR(__xludf.DUMMYFUNCTION("""COMPUTED_VALUE"""),"000325")</f>
        <v>000325</v>
      </c>
      <c r="J52" s="53" t="str">
        <f>IFERROR(__xludf.DUMMYFUNCTION("""COMPUTED_VALUE"""),"22-23")</f>
        <v>22-23</v>
      </c>
    </row>
    <row r="53">
      <c r="A53" s="53" t="str">
        <f>IFERROR(__xludf.DUMMYFUNCTION("""COMPUTED_VALUE"""),"3580952174")</f>
        <v>3580952174</v>
      </c>
      <c r="B53" s="53" t="str">
        <f>IFERROR(__xludf.DUMMYFUNCTION("""COMPUTED_VALUE"""),"Namburu")</f>
        <v>Namburu</v>
      </c>
      <c r="C53" s="53" t="str">
        <f>IFERROR(__xludf.DUMMYFUNCTION("""COMPUTED_VALUE"""),"Sahiti")</f>
        <v>Sahiti</v>
      </c>
      <c r="D53" s="54">
        <f>IFERROR(__xludf.DUMMYFUNCTION("""COMPUTED_VALUE"""),7.0)</f>
        <v>7</v>
      </c>
      <c r="E53" s="53" t="str">
        <f>IFERROR(__xludf.DUMMYFUNCTION("""COMPUTED_VALUE"""),"F")</f>
        <v>F</v>
      </c>
      <c r="F53" s="53" t="str">
        <f>IFERROR(__xludf.DUMMYFUNCTION("""COMPUTED_VALUE"""),"No, not Hispanic or Latino")</f>
        <v>No, not Hispanic or Latino</v>
      </c>
      <c r="G53" s="53" t="str">
        <f>IFERROR(__xludf.DUMMYFUNCTION("""COMPUTED_VALUE"""),"Asian Indian")</f>
        <v>Asian Indian</v>
      </c>
      <c r="H53" s="54">
        <f>IFERROR(__xludf.DUMMYFUNCTION("""COMPUTED_VALUE"""),1058.0)</f>
        <v>1058</v>
      </c>
      <c r="I53" s="53" t="str">
        <f>IFERROR(__xludf.DUMMYFUNCTION("""COMPUTED_VALUE"""),"000329")</f>
        <v>000329</v>
      </c>
      <c r="J53" s="53" t="str">
        <f>IFERROR(__xludf.DUMMYFUNCTION("""COMPUTED_VALUE"""),"22-23")</f>
        <v>22-23</v>
      </c>
    </row>
    <row r="54">
      <c r="A54" s="53" t="str">
        <f>IFERROR(__xludf.DUMMYFUNCTION("""COMPUTED_VALUE"""),"7951262332")</f>
        <v>7951262332</v>
      </c>
      <c r="B54" s="53" t="str">
        <f>IFERROR(__xludf.DUMMYFUNCTION("""COMPUTED_VALUE"""),"Newhoff")</f>
        <v>Newhoff</v>
      </c>
      <c r="C54" s="53" t="str">
        <f>IFERROR(__xludf.DUMMYFUNCTION("""COMPUTED_VALUE"""),"Charlie")</f>
        <v>Charlie</v>
      </c>
      <c r="D54" s="54">
        <f>IFERROR(__xludf.DUMMYFUNCTION("""COMPUTED_VALUE"""),7.0)</f>
        <v>7</v>
      </c>
      <c r="E54" s="53" t="str">
        <f>IFERROR(__xludf.DUMMYFUNCTION("""COMPUTED_VALUE"""),"F")</f>
        <v>F</v>
      </c>
      <c r="F54" s="53" t="str">
        <f>IFERROR(__xludf.DUMMYFUNCTION("""COMPUTED_VALUE"""),"No, not Hispanic or Latino")</f>
        <v>No, not Hispanic or Latino</v>
      </c>
      <c r="G54" s="53" t="str">
        <f>IFERROR(__xludf.DUMMYFUNCTION("""COMPUTED_VALUE"""),"Black or African American")</f>
        <v>Black or African American</v>
      </c>
      <c r="H54" s="54">
        <f>IFERROR(__xludf.DUMMYFUNCTION("""COMPUTED_VALUE"""),1107.0)</f>
        <v>1107</v>
      </c>
      <c r="I54" s="53" t="str">
        <f>IFERROR(__xludf.DUMMYFUNCTION("""COMPUTED_VALUE"""),"000325")</f>
        <v>000325</v>
      </c>
      <c r="J54" s="53" t="str">
        <f>IFERROR(__xludf.DUMMYFUNCTION("""COMPUTED_VALUE"""),"22-23")</f>
        <v>22-23</v>
      </c>
    </row>
    <row r="55">
      <c r="A55" s="53" t="str">
        <f>IFERROR(__xludf.DUMMYFUNCTION("""COMPUTED_VALUE"""),"1691476558")</f>
        <v>1691476558</v>
      </c>
      <c r="B55" s="53" t="str">
        <f>IFERROR(__xludf.DUMMYFUNCTION("""COMPUTED_VALUE"""),"Nguyen")</f>
        <v>Nguyen</v>
      </c>
      <c r="C55" s="53" t="str">
        <f>IFERROR(__xludf.DUMMYFUNCTION("""COMPUTED_VALUE"""),"Camden")</f>
        <v>Camden</v>
      </c>
      <c r="D55" s="54">
        <f>IFERROR(__xludf.DUMMYFUNCTION("""COMPUTED_VALUE"""),7.0)</f>
        <v>7</v>
      </c>
      <c r="E55" s="53" t="str">
        <f>IFERROR(__xludf.DUMMYFUNCTION("""COMPUTED_VALUE"""),"M")</f>
        <v>M</v>
      </c>
      <c r="F55" s="53" t="str">
        <f>IFERROR(__xludf.DUMMYFUNCTION("""COMPUTED_VALUE"""),"No, not Hispanic or Latino")</f>
        <v>No, not Hispanic or Latino</v>
      </c>
      <c r="G55" s="53" t="str">
        <f>IFERROR(__xludf.DUMMYFUNCTION("""COMPUTED_VALUE"""),"White")</f>
        <v>White</v>
      </c>
      <c r="H55" s="54">
        <f>IFERROR(__xludf.DUMMYFUNCTION("""COMPUTED_VALUE"""),1110.0)</f>
        <v>1110</v>
      </c>
      <c r="I55" s="53" t="str">
        <f>IFERROR(__xludf.DUMMYFUNCTION("""COMPUTED_VALUE"""),"000325")</f>
        <v>000325</v>
      </c>
      <c r="J55" s="53" t="str">
        <f>IFERROR(__xludf.DUMMYFUNCTION("""COMPUTED_VALUE"""),"22-23")</f>
        <v>22-23</v>
      </c>
    </row>
    <row r="56">
      <c r="A56" s="53" t="str">
        <f>IFERROR(__xludf.DUMMYFUNCTION("""COMPUTED_VALUE"""),"3295280687")</f>
        <v>3295280687</v>
      </c>
      <c r="B56" s="53" t="str">
        <f>IFERROR(__xludf.DUMMYFUNCTION("""COMPUTED_VALUE"""),"O'Brien")</f>
        <v>O'Brien</v>
      </c>
      <c r="C56" s="53" t="str">
        <f>IFERROR(__xludf.DUMMYFUNCTION("""COMPUTED_VALUE"""),"Colin")</f>
        <v>Colin</v>
      </c>
      <c r="D56" s="54">
        <f>IFERROR(__xludf.DUMMYFUNCTION("""COMPUTED_VALUE"""),7.0)</f>
        <v>7</v>
      </c>
      <c r="E56" s="53" t="str">
        <f>IFERROR(__xludf.DUMMYFUNCTION("""COMPUTED_VALUE"""),"M")</f>
        <v>M</v>
      </c>
      <c r="F56" s="53" t="str">
        <f>IFERROR(__xludf.DUMMYFUNCTION("""COMPUTED_VALUE"""),"No, not Hispanic or Latino")</f>
        <v>No, not Hispanic or Latino</v>
      </c>
      <c r="G56" s="53" t="str">
        <f>IFERROR(__xludf.DUMMYFUNCTION("""COMPUTED_VALUE"""),"White")</f>
        <v>White</v>
      </c>
      <c r="H56" s="54">
        <f>IFERROR(__xludf.DUMMYFUNCTION("""COMPUTED_VALUE"""),1108.0)</f>
        <v>1108</v>
      </c>
      <c r="I56" s="53" t="str">
        <f>IFERROR(__xludf.DUMMYFUNCTION("""COMPUTED_VALUE"""),"000325")</f>
        <v>000325</v>
      </c>
      <c r="J56" s="53" t="str">
        <f>IFERROR(__xludf.DUMMYFUNCTION("""COMPUTED_VALUE"""),"22-23")</f>
        <v>22-23</v>
      </c>
    </row>
    <row r="57">
      <c r="A57" s="53" t="str">
        <f>IFERROR(__xludf.DUMMYFUNCTION("""COMPUTED_VALUE"""),"7552727381")</f>
        <v>7552727381</v>
      </c>
      <c r="B57" s="53" t="str">
        <f>IFERROR(__xludf.DUMMYFUNCTION("""COMPUTED_VALUE"""),"Patel")</f>
        <v>Patel</v>
      </c>
      <c r="C57" s="53" t="str">
        <f>IFERROR(__xludf.DUMMYFUNCTION("""COMPUTED_VALUE"""),"Kaylin")</f>
        <v>Kaylin</v>
      </c>
      <c r="D57" s="54">
        <f>IFERROR(__xludf.DUMMYFUNCTION("""COMPUTED_VALUE"""),7.0)</f>
        <v>7</v>
      </c>
      <c r="E57" s="53" t="str">
        <f>IFERROR(__xludf.DUMMYFUNCTION("""COMPUTED_VALUE"""),"F")</f>
        <v>F</v>
      </c>
      <c r="F57" s="53" t="str">
        <f>IFERROR(__xludf.DUMMYFUNCTION("""COMPUTED_VALUE"""),"No, not Hispanic or Latino")</f>
        <v>No, not Hispanic or Latino</v>
      </c>
      <c r="G57" s="53" t="str">
        <f>IFERROR(__xludf.DUMMYFUNCTION("""COMPUTED_VALUE"""),"Asian Indian")</f>
        <v>Asian Indian</v>
      </c>
      <c r="H57" s="54">
        <f>IFERROR(__xludf.DUMMYFUNCTION("""COMPUTED_VALUE"""),1058.0)</f>
        <v>1058</v>
      </c>
      <c r="I57" s="53" t="str">
        <f>IFERROR(__xludf.DUMMYFUNCTION("""COMPUTED_VALUE"""),"000329")</f>
        <v>000329</v>
      </c>
      <c r="J57" s="53" t="str">
        <f>IFERROR(__xludf.DUMMYFUNCTION("""COMPUTED_VALUE"""),"22-23")</f>
        <v>22-23</v>
      </c>
    </row>
    <row r="58">
      <c r="A58" s="53" t="str">
        <f>IFERROR(__xludf.DUMMYFUNCTION("""COMPUTED_VALUE"""),"7019805161")</f>
        <v>7019805161</v>
      </c>
      <c r="B58" s="53" t="str">
        <f>IFERROR(__xludf.DUMMYFUNCTION("""COMPUTED_VALUE"""),"Perry")</f>
        <v>Perry</v>
      </c>
      <c r="C58" s="53" t="str">
        <f>IFERROR(__xludf.DUMMYFUNCTION("""COMPUTED_VALUE"""),"John-paul")</f>
        <v>John-paul</v>
      </c>
      <c r="D58" s="54">
        <f>IFERROR(__xludf.DUMMYFUNCTION("""COMPUTED_VALUE"""),7.0)</f>
        <v>7</v>
      </c>
      <c r="E58" s="53" t="str">
        <f>IFERROR(__xludf.DUMMYFUNCTION("""COMPUTED_VALUE"""),"M")</f>
        <v>M</v>
      </c>
      <c r="F58" s="53" t="str">
        <f>IFERROR(__xludf.DUMMYFUNCTION("""COMPUTED_VALUE"""),"No, not Hispanic or Latino")</f>
        <v>No, not Hispanic or Latino</v>
      </c>
      <c r="G58" s="53" t="str">
        <f>IFERROR(__xludf.DUMMYFUNCTION("""COMPUTED_VALUE"""),"White")</f>
        <v>White</v>
      </c>
      <c r="H58" s="54">
        <f>IFERROR(__xludf.DUMMYFUNCTION("""COMPUTED_VALUE"""),1058.0)</f>
        <v>1058</v>
      </c>
      <c r="I58" s="53" t="str">
        <f>IFERROR(__xludf.DUMMYFUNCTION("""COMPUTED_VALUE"""),"000329")</f>
        <v>000329</v>
      </c>
      <c r="J58" s="53" t="str">
        <f>IFERROR(__xludf.DUMMYFUNCTION("""COMPUTED_VALUE"""),"22-23")</f>
        <v>22-23</v>
      </c>
    </row>
    <row r="59">
      <c r="A59" s="53" t="str">
        <f>IFERROR(__xludf.DUMMYFUNCTION("""COMPUTED_VALUE"""),"3395784690")</f>
        <v>3395784690</v>
      </c>
      <c r="B59" s="53" t="str">
        <f>IFERROR(__xludf.DUMMYFUNCTION("""COMPUTED_VALUE"""),"Rambo")</f>
        <v>Rambo</v>
      </c>
      <c r="C59" s="53" t="str">
        <f>IFERROR(__xludf.DUMMYFUNCTION("""COMPUTED_VALUE"""),"Forest")</f>
        <v>Forest</v>
      </c>
      <c r="D59" s="54">
        <f>IFERROR(__xludf.DUMMYFUNCTION("""COMPUTED_VALUE"""),7.0)</f>
        <v>7</v>
      </c>
      <c r="E59" s="53" t="str">
        <f>IFERROR(__xludf.DUMMYFUNCTION("""COMPUTED_VALUE"""),"M")</f>
        <v>M</v>
      </c>
      <c r="F59" s="53" t="str">
        <f>IFERROR(__xludf.DUMMYFUNCTION("""COMPUTED_VALUE"""),"No, not Hispanic or Latino")</f>
        <v>No, not Hispanic or Latino</v>
      </c>
      <c r="G59" s="53" t="str">
        <f>IFERROR(__xludf.DUMMYFUNCTION("""COMPUTED_VALUE"""),"White")</f>
        <v>White</v>
      </c>
      <c r="H59" s="54">
        <f>IFERROR(__xludf.DUMMYFUNCTION("""COMPUTED_VALUE"""),1058.0)</f>
        <v>1058</v>
      </c>
      <c r="I59" s="53" t="str">
        <f>IFERROR(__xludf.DUMMYFUNCTION("""COMPUTED_VALUE"""),"000329")</f>
        <v>000329</v>
      </c>
      <c r="J59" s="53" t="str">
        <f>IFERROR(__xludf.DUMMYFUNCTION("""COMPUTED_VALUE"""),"22-23")</f>
        <v>22-23</v>
      </c>
    </row>
    <row r="60">
      <c r="A60" s="53" t="str">
        <f>IFERROR(__xludf.DUMMYFUNCTION("""COMPUTED_VALUE"""),"8664907746")</f>
        <v>8664907746</v>
      </c>
      <c r="B60" s="53" t="str">
        <f>IFERROR(__xludf.DUMMYFUNCTION("""COMPUTED_VALUE"""),"Rice")</f>
        <v>Rice</v>
      </c>
      <c r="C60" s="53" t="str">
        <f>IFERROR(__xludf.DUMMYFUNCTION("""COMPUTED_VALUE"""),"Zachary")</f>
        <v>Zachary</v>
      </c>
      <c r="D60" s="54">
        <f>IFERROR(__xludf.DUMMYFUNCTION("""COMPUTED_VALUE"""),7.0)</f>
        <v>7</v>
      </c>
      <c r="E60" s="53" t="str">
        <f>IFERROR(__xludf.DUMMYFUNCTION("""COMPUTED_VALUE"""),"M")</f>
        <v>M</v>
      </c>
      <c r="F60" s="53" t="str">
        <f>IFERROR(__xludf.DUMMYFUNCTION("""COMPUTED_VALUE"""),"No, not Hispanic or Latino")</f>
        <v>No, not Hispanic or Latino</v>
      </c>
      <c r="G60" s="53" t="str">
        <f>IFERROR(__xludf.DUMMYFUNCTION("""COMPUTED_VALUE"""),"White")</f>
        <v>White</v>
      </c>
      <c r="H60" s="54">
        <f>IFERROR(__xludf.DUMMYFUNCTION("""COMPUTED_VALUE"""),1111.0)</f>
        <v>1111</v>
      </c>
      <c r="I60" s="53" t="str">
        <f>IFERROR(__xludf.DUMMYFUNCTION("""COMPUTED_VALUE"""),"000325")</f>
        <v>000325</v>
      </c>
      <c r="J60" s="53" t="str">
        <f>IFERROR(__xludf.DUMMYFUNCTION("""COMPUTED_VALUE"""),"22-23")</f>
        <v>22-23</v>
      </c>
    </row>
    <row r="61">
      <c r="A61" s="53" t="str">
        <f>IFERROR(__xludf.DUMMYFUNCTION("""COMPUTED_VALUE"""),"7138200690")</f>
        <v>7138200690</v>
      </c>
      <c r="B61" s="53" t="str">
        <f>IFERROR(__xludf.DUMMYFUNCTION("""COMPUTED_VALUE"""),"Roder")</f>
        <v>Roder</v>
      </c>
      <c r="C61" s="53" t="str">
        <f>IFERROR(__xludf.DUMMYFUNCTION("""COMPUTED_VALUE"""),"Kieran")</f>
        <v>Kieran</v>
      </c>
      <c r="D61" s="54">
        <f>IFERROR(__xludf.DUMMYFUNCTION("""COMPUTED_VALUE"""),7.0)</f>
        <v>7</v>
      </c>
      <c r="E61" s="53" t="str">
        <f>IFERROR(__xludf.DUMMYFUNCTION("""COMPUTED_VALUE"""),"M")</f>
        <v>M</v>
      </c>
      <c r="F61" s="53" t="str">
        <f>IFERROR(__xludf.DUMMYFUNCTION("""COMPUTED_VALUE"""),"No, not Hispanic or Latino")</f>
        <v>No, not Hispanic or Latino</v>
      </c>
      <c r="G61" s="53" t="str">
        <f>IFERROR(__xludf.DUMMYFUNCTION("""COMPUTED_VALUE"""),"White")</f>
        <v>White</v>
      </c>
      <c r="H61" s="54">
        <f>IFERROR(__xludf.DUMMYFUNCTION("""COMPUTED_VALUE"""),1110.0)</f>
        <v>1110</v>
      </c>
      <c r="I61" s="53" t="str">
        <f>IFERROR(__xludf.DUMMYFUNCTION("""COMPUTED_VALUE"""),"000325")</f>
        <v>000325</v>
      </c>
      <c r="J61" s="53" t="str">
        <f>IFERROR(__xludf.DUMMYFUNCTION("""COMPUTED_VALUE"""),"22-23")</f>
        <v>22-23</v>
      </c>
    </row>
    <row r="62">
      <c r="A62" s="53" t="str">
        <f>IFERROR(__xludf.DUMMYFUNCTION("""COMPUTED_VALUE"""),"4623564284")</f>
        <v>4623564284</v>
      </c>
      <c r="B62" s="53" t="str">
        <f>IFERROR(__xludf.DUMMYFUNCTION("""COMPUTED_VALUE"""),"Russell")</f>
        <v>Russell</v>
      </c>
      <c r="C62" s="53" t="str">
        <f>IFERROR(__xludf.DUMMYFUNCTION("""COMPUTED_VALUE"""),"Logan")</f>
        <v>Logan</v>
      </c>
      <c r="D62" s="54">
        <f>IFERROR(__xludf.DUMMYFUNCTION("""COMPUTED_VALUE"""),7.0)</f>
        <v>7</v>
      </c>
      <c r="E62" s="53" t="str">
        <f>IFERROR(__xludf.DUMMYFUNCTION("""COMPUTED_VALUE"""),"M")</f>
        <v>M</v>
      </c>
      <c r="F62" s="53" t="str">
        <f>IFERROR(__xludf.DUMMYFUNCTION("""COMPUTED_VALUE"""),"No, not Hispanic or Latino")</f>
        <v>No, not Hispanic or Latino</v>
      </c>
      <c r="G62" s="53" t="str">
        <f>IFERROR(__xludf.DUMMYFUNCTION("""COMPUTED_VALUE"""),"White")</f>
        <v>White</v>
      </c>
      <c r="H62" s="54">
        <f>IFERROR(__xludf.DUMMYFUNCTION("""COMPUTED_VALUE"""),1108.0)</f>
        <v>1108</v>
      </c>
      <c r="I62" s="53" t="str">
        <f>IFERROR(__xludf.DUMMYFUNCTION("""COMPUTED_VALUE"""),"000325")</f>
        <v>000325</v>
      </c>
      <c r="J62" s="53" t="str">
        <f>IFERROR(__xludf.DUMMYFUNCTION("""COMPUTED_VALUE"""),"22-23")</f>
        <v>22-23</v>
      </c>
    </row>
    <row r="63">
      <c r="A63" s="53" t="str">
        <f>IFERROR(__xludf.DUMMYFUNCTION("""COMPUTED_VALUE"""),"2130919661")</f>
        <v>2130919661</v>
      </c>
      <c r="B63" s="53" t="str">
        <f>IFERROR(__xludf.DUMMYFUNCTION("""COMPUTED_VALUE"""),"Sabino Arana")</f>
        <v>Sabino Arana</v>
      </c>
      <c r="C63" s="53" t="str">
        <f>IFERROR(__xludf.DUMMYFUNCTION("""COMPUTED_VALUE"""),"Alexander")</f>
        <v>Alexander</v>
      </c>
      <c r="D63" s="54">
        <f>IFERROR(__xludf.DUMMYFUNCTION("""COMPUTED_VALUE"""),7.0)</f>
        <v>7</v>
      </c>
      <c r="E63" s="53" t="str">
        <f>IFERROR(__xludf.DUMMYFUNCTION("""COMPUTED_VALUE"""),"M")</f>
        <v>M</v>
      </c>
      <c r="F63" s="53" t="str">
        <f>IFERROR(__xludf.DUMMYFUNCTION("""COMPUTED_VALUE"""),"Yes, Hispanic or Latino")</f>
        <v>Yes, Hispanic or Latino</v>
      </c>
      <c r="G63" s="53" t="str">
        <f>IFERROR(__xludf.DUMMYFUNCTION("""COMPUTED_VALUE"""),"Laotian")</f>
        <v>Laotian</v>
      </c>
      <c r="H63" s="54">
        <f>IFERROR(__xludf.DUMMYFUNCTION("""COMPUTED_VALUE"""),1058.0)</f>
        <v>1058</v>
      </c>
      <c r="I63" s="53" t="str">
        <f>IFERROR(__xludf.DUMMYFUNCTION("""COMPUTED_VALUE"""),"000329")</f>
        <v>000329</v>
      </c>
      <c r="J63" s="53" t="str">
        <f>IFERROR(__xludf.DUMMYFUNCTION("""COMPUTED_VALUE"""),"22-23")</f>
        <v>22-23</v>
      </c>
    </row>
    <row r="64">
      <c r="A64" s="53" t="str">
        <f>IFERROR(__xludf.DUMMYFUNCTION("""COMPUTED_VALUE"""),"1481757658")</f>
        <v>1481757658</v>
      </c>
      <c r="B64" s="53" t="str">
        <f>IFERROR(__xludf.DUMMYFUNCTION("""COMPUTED_VALUE"""),"Salvado")</f>
        <v>Salvado</v>
      </c>
      <c r="C64" s="53" t="str">
        <f>IFERROR(__xludf.DUMMYFUNCTION("""COMPUTED_VALUE"""),"Miro")</f>
        <v>Miro</v>
      </c>
      <c r="D64" s="54">
        <f>IFERROR(__xludf.DUMMYFUNCTION("""COMPUTED_VALUE"""),7.0)</f>
        <v>7</v>
      </c>
      <c r="E64" s="53" t="str">
        <f>IFERROR(__xludf.DUMMYFUNCTION("""COMPUTED_VALUE"""),"M")</f>
        <v>M</v>
      </c>
      <c r="F64" s="53" t="str">
        <f>IFERROR(__xludf.DUMMYFUNCTION("""COMPUTED_VALUE"""),"No, not Hispanic or Latino")</f>
        <v>No, not Hispanic or Latino</v>
      </c>
      <c r="G64" s="53" t="str">
        <f>IFERROR(__xludf.DUMMYFUNCTION("""COMPUTED_VALUE"""),"White")</f>
        <v>White</v>
      </c>
      <c r="H64" s="54">
        <f>IFERROR(__xludf.DUMMYFUNCTION("""COMPUTED_VALUE"""),1058.0)</f>
        <v>1058</v>
      </c>
      <c r="I64" s="53" t="str">
        <f>IFERROR(__xludf.DUMMYFUNCTION("""COMPUTED_VALUE"""),"000329")</f>
        <v>000329</v>
      </c>
      <c r="J64" s="53" t="str">
        <f>IFERROR(__xludf.DUMMYFUNCTION("""COMPUTED_VALUE"""),"22-23")</f>
        <v>22-23</v>
      </c>
    </row>
    <row r="65">
      <c r="A65" s="53" t="str">
        <f>IFERROR(__xludf.DUMMYFUNCTION("""COMPUTED_VALUE"""),"9663071826")</f>
        <v>9663071826</v>
      </c>
      <c r="B65" s="53" t="str">
        <f>IFERROR(__xludf.DUMMYFUNCTION("""COMPUTED_VALUE"""),"Sancheti")</f>
        <v>Sancheti</v>
      </c>
      <c r="C65" s="53" t="str">
        <f>IFERROR(__xludf.DUMMYFUNCTION("""COMPUTED_VALUE"""),"Shreya")</f>
        <v>Shreya</v>
      </c>
      <c r="D65" s="54">
        <f>IFERROR(__xludf.DUMMYFUNCTION("""COMPUTED_VALUE"""),7.0)</f>
        <v>7</v>
      </c>
      <c r="E65" s="53" t="str">
        <f>IFERROR(__xludf.DUMMYFUNCTION("""COMPUTED_VALUE"""),"F")</f>
        <v>F</v>
      </c>
      <c r="F65" s="53" t="str">
        <f>IFERROR(__xludf.DUMMYFUNCTION("""COMPUTED_VALUE"""),"No, not Hispanic or Latino")</f>
        <v>No, not Hispanic or Latino</v>
      </c>
      <c r="G65" s="53" t="str">
        <f>IFERROR(__xludf.DUMMYFUNCTION("""COMPUTED_VALUE"""),"Asian Indian")</f>
        <v>Asian Indian</v>
      </c>
      <c r="H65" s="54">
        <f>IFERROR(__xludf.DUMMYFUNCTION("""COMPUTED_VALUE"""),1110.0)</f>
        <v>1110</v>
      </c>
      <c r="I65" s="53" t="str">
        <f>IFERROR(__xludf.DUMMYFUNCTION("""COMPUTED_VALUE"""),"000325")</f>
        <v>000325</v>
      </c>
      <c r="J65" s="53" t="str">
        <f>IFERROR(__xludf.DUMMYFUNCTION("""COMPUTED_VALUE"""),"22-23")</f>
        <v>22-23</v>
      </c>
    </row>
    <row r="66">
      <c r="A66" s="53" t="str">
        <f>IFERROR(__xludf.DUMMYFUNCTION("""COMPUTED_VALUE"""),"7377862803")</f>
        <v>7377862803</v>
      </c>
      <c r="B66" s="53" t="str">
        <f>IFERROR(__xludf.DUMMYFUNCTION("""COMPUTED_VALUE"""),"Singh")</f>
        <v>Singh</v>
      </c>
      <c r="C66" s="53" t="str">
        <f>IFERROR(__xludf.DUMMYFUNCTION("""COMPUTED_VALUE"""),"Aryaveer")</f>
        <v>Aryaveer</v>
      </c>
      <c r="D66" s="54">
        <f>IFERROR(__xludf.DUMMYFUNCTION("""COMPUTED_VALUE"""),7.0)</f>
        <v>7</v>
      </c>
      <c r="E66" s="53" t="str">
        <f>IFERROR(__xludf.DUMMYFUNCTION("""COMPUTED_VALUE"""),"M")</f>
        <v>M</v>
      </c>
      <c r="F66" s="53" t="str">
        <f>IFERROR(__xludf.DUMMYFUNCTION("""COMPUTED_VALUE"""),"No, not Hispanic or Latino")</f>
        <v>No, not Hispanic or Latino</v>
      </c>
      <c r="G66" s="53" t="str">
        <f>IFERROR(__xludf.DUMMYFUNCTION("""COMPUTED_VALUE"""),"Asian Indian")</f>
        <v>Asian Indian</v>
      </c>
      <c r="H66" s="54">
        <f>IFERROR(__xludf.DUMMYFUNCTION("""COMPUTED_VALUE"""),1110.0)</f>
        <v>1110</v>
      </c>
      <c r="I66" s="53" t="str">
        <f>IFERROR(__xludf.DUMMYFUNCTION("""COMPUTED_VALUE"""),"000325")</f>
        <v>000325</v>
      </c>
      <c r="J66" s="53" t="str">
        <f>IFERROR(__xludf.DUMMYFUNCTION("""COMPUTED_VALUE"""),"22-23")</f>
        <v>22-23</v>
      </c>
    </row>
    <row r="67">
      <c r="A67" s="53" t="str">
        <f>IFERROR(__xludf.DUMMYFUNCTION("""COMPUTED_VALUE"""),"5685086327")</f>
        <v>5685086327</v>
      </c>
      <c r="B67" s="53" t="str">
        <f>IFERROR(__xludf.DUMMYFUNCTION("""COMPUTED_VALUE"""),"Stein")</f>
        <v>Stein</v>
      </c>
      <c r="C67" s="53" t="str">
        <f>IFERROR(__xludf.DUMMYFUNCTION("""COMPUTED_VALUE"""),"Ari")</f>
        <v>Ari</v>
      </c>
      <c r="D67" s="54">
        <f>IFERROR(__xludf.DUMMYFUNCTION("""COMPUTED_VALUE"""),7.0)</f>
        <v>7</v>
      </c>
      <c r="E67" s="53" t="str">
        <f>IFERROR(__xludf.DUMMYFUNCTION("""COMPUTED_VALUE"""),"M")</f>
        <v>M</v>
      </c>
      <c r="F67" s="53" t="str">
        <f>IFERROR(__xludf.DUMMYFUNCTION("""COMPUTED_VALUE"""),"No, not Hispanic or Latino")</f>
        <v>No, not Hispanic or Latino</v>
      </c>
      <c r="G67" s="53" t="str">
        <f>IFERROR(__xludf.DUMMYFUNCTION("""COMPUTED_VALUE"""),"White")</f>
        <v>White</v>
      </c>
      <c r="H67" s="54">
        <f>IFERROR(__xludf.DUMMYFUNCTION("""COMPUTED_VALUE"""),1058.0)</f>
        <v>1058</v>
      </c>
      <c r="I67" s="53" t="str">
        <f>IFERROR(__xludf.DUMMYFUNCTION("""COMPUTED_VALUE"""),"000329")</f>
        <v>000329</v>
      </c>
      <c r="J67" s="53" t="str">
        <f>IFERROR(__xludf.DUMMYFUNCTION("""COMPUTED_VALUE"""),"22-23")</f>
        <v>22-23</v>
      </c>
    </row>
    <row r="68">
      <c r="A68" s="53" t="str">
        <f>IFERROR(__xludf.DUMMYFUNCTION("""COMPUTED_VALUE"""),"4347161403")</f>
        <v>4347161403</v>
      </c>
      <c r="B68" s="53" t="str">
        <f>IFERROR(__xludf.DUMMYFUNCTION("""COMPUTED_VALUE"""),"Stern")</f>
        <v>Stern</v>
      </c>
      <c r="C68" s="53" t="str">
        <f>IFERROR(__xludf.DUMMYFUNCTION("""COMPUTED_VALUE"""),"Nathan")</f>
        <v>Nathan</v>
      </c>
      <c r="D68" s="54">
        <f>IFERROR(__xludf.DUMMYFUNCTION("""COMPUTED_VALUE"""),7.0)</f>
        <v>7</v>
      </c>
      <c r="E68" s="53" t="str">
        <f>IFERROR(__xludf.DUMMYFUNCTION("""COMPUTED_VALUE"""),"M")</f>
        <v>M</v>
      </c>
      <c r="F68" s="53" t="str">
        <f>IFERROR(__xludf.DUMMYFUNCTION("""COMPUTED_VALUE"""),"No, not Hispanic or Latino")</f>
        <v>No, not Hispanic or Latino</v>
      </c>
      <c r="G68" s="53" t="str">
        <f>IFERROR(__xludf.DUMMYFUNCTION("""COMPUTED_VALUE"""),"White")</f>
        <v>White</v>
      </c>
      <c r="H68" s="54">
        <f>IFERROR(__xludf.DUMMYFUNCTION("""COMPUTED_VALUE"""),1058.0)</f>
        <v>1058</v>
      </c>
      <c r="I68" s="53" t="str">
        <f>IFERROR(__xludf.DUMMYFUNCTION("""COMPUTED_VALUE"""),"000329")</f>
        <v>000329</v>
      </c>
      <c r="J68" s="53" t="str">
        <f>IFERROR(__xludf.DUMMYFUNCTION("""COMPUTED_VALUE"""),"22-23")</f>
        <v>22-23</v>
      </c>
    </row>
    <row r="69">
      <c r="A69" s="53" t="str">
        <f>IFERROR(__xludf.DUMMYFUNCTION("""COMPUTED_VALUE"""),"9273577083")</f>
        <v>9273577083</v>
      </c>
      <c r="B69" s="53" t="str">
        <f>IFERROR(__xludf.DUMMYFUNCTION("""COMPUTED_VALUE"""),"Voloshin")</f>
        <v>Voloshin</v>
      </c>
      <c r="C69" s="53" t="str">
        <f>IFERROR(__xludf.DUMMYFUNCTION("""COMPUTED_VALUE"""),"Aaron")</f>
        <v>Aaron</v>
      </c>
      <c r="D69" s="54">
        <f>IFERROR(__xludf.DUMMYFUNCTION("""COMPUTED_VALUE"""),7.0)</f>
        <v>7</v>
      </c>
      <c r="E69" s="53" t="str">
        <f>IFERROR(__xludf.DUMMYFUNCTION("""COMPUTED_VALUE"""),"M")</f>
        <v>M</v>
      </c>
      <c r="F69" s="53" t="str">
        <f>IFERROR(__xludf.DUMMYFUNCTION("""COMPUTED_VALUE"""),"No, not Hispanic or Latino")</f>
        <v>No, not Hispanic or Latino</v>
      </c>
      <c r="G69" s="53" t="str">
        <f>IFERROR(__xludf.DUMMYFUNCTION("""COMPUTED_VALUE"""),"White")</f>
        <v>White</v>
      </c>
      <c r="H69" s="54">
        <f>IFERROR(__xludf.DUMMYFUNCTION("""COMPUTED_VALUE"""),1111.0)</f>
        <v>1111</v>
      </c>
      <c r="I69" s="53" t="str">
        <f>IFERROR(__xludf.DUMMYFUNCTION("""COMPUTED_VALUE"""),"000325")</f>
        <v>000325</v>
      </c>
      <c r="J69" s="53" t="str">
        <f>IFERROR(__xludf.DUMMYFUNCTION("""COMPUTED_VALUE"""),"22-23")</f>
        <v>22-23</v>
      </c>
    </row>
    <row r="70">
      <c r="A70" s="53" t="str">
        <f>IFERROR(__xludf.DUMMYFUNCTION("""COMPUTED_VALUE"""),"8995124237")</f>
        <v>8995124237</v>
      </c>
      <c r="B70" s="53" t="str">
        <f>IFERROR(__xludf.DUMMYFUNCTION("""COMPUTED_VALUE"""),"Vree")</f>
        <v>Vree</v>
      </c>
      <c r="C70" s="53" t="str">
        <f>IFERROR(__xludf.DUMMYFUNCTION("""COMPUTED_VALUE"""),"William")</f>
        <v>William</v>
      </c>
      <c r="D70" s="54">
        <f>IFERROR(__xludf.DUMMYFUNCTION("""COMPUTED_VALUE"""),7.0)</f>
        <v>7</v>
      </c>
      <c r="E70" s="53" t="str">
        <f>IFERROR(__xludf.DUMMYFUNCTION("""COMPUTED_VALUE"""),"M")</f>
        <v>M</v>
      </c>
      <c r="F70" s="53" t="str">
        <f>IFERROR(__xludf.DUMMYFUNCTION("""COMPUTED_VALUE"""),"No, not Hispanic or Latino")</f>
        <v>No, not Hispanic or Latino</v>
      </c>
      <c r="G70" s="53" t="str">
        <f>IFERROR(__xludf.DUMMYFUNCTION("""COMPUTED_VALUE"""),"White")</f>
        <v>White</v>
      </c>
      <c r="H70" s="54">
        <f>IFERROR(__xludf.DUMMYFUNCTION("""COMPUTED_VALUE"""),1110.0)</f>
        <v>1110</v>
      </c>
      <c r="I70" s="53" t="str">
        <f>IFERROR(__xludf.DUMMYFUNCTION("""COMPUTED_VALUE"""),"000325")</f>
        <v>000325</v>
      </c>
      <c r="J70" s="53" t="str">
        <f>IFERROR(__xludf.DUMMYFUNCTION("""COMPUTED_VALUE"""),"22-23")</f>
        <v>22-23</v>
      </c>
    </row>
    <row r="71">
      <c r="A71" s="53" t="str">
        <f>IFERROR(__xludf.DUMMYFUNCTION("""COMPUTED_VALUE"""),"5752464502")</f>
        <v>5752464502</v>
      </c>
      <c r="B71" s="53" t="str">
        <f>IFERROR(__xludf.DUMMYFUNCTION("""COMPUTED_VALUE"""),"Weidner")</f>
        <v>Weidner</v>
      </c>
      <c r="C71" s="53" t="str">
        <f>IFERROR(__xludf.DUMMYFUNCTION("""COMPUTED_VALUE"""),"James")</f>
        <v>James</v>
      </c>
      <c r="D71" s="54">
        <f>IFERROR(__xludf.DUMMYFUNCTION("""COMPUTED_VALUE"""),7.0)</f>
        <v>7</v>
      </c>
      <c r="E71" s="53" t="str">
        <f>IFERROR(__xludf.DUMMYFUNCTION("""COMPUTED_VALUE"""),"M")</f>
        <v>M</v>
      </c>
      <c r="F71" s="53" t="str">
        <f>IFERROR(__xludf.DUMMYFUNCTION("""COMPUTED_VALUE"""),"No, not Hispanic or Latino")</f>
        <v>No, not Hispanic or Latino</v>
      </c>
      <c r="G71" s="53" t="str">
        <f>IFERROR(__xludf.DUMMYFUNCTION("""COMPUTED_VALUE"""),"White")</f>
        <v>White</v>
      </c>
      <c r="H71" s="54">
        <f>IFERROR(__xludf.DUMMYFUNCTION("""COMPUTED_VALUE"""),1058.0)</f>
        <v>1058</v>
      </c>
      <c r="I71" s="53" t="str">
        <f>IFERROR(__xludf.DUMMYFUNCTION("""COMPUTED_VALUE"""),"000329")</f>
        <v>000329</v>
      </c>
      <c r="J71" s="53" t="str">
        <f>IFERROR(__xludf.DUMMYFUNCTION("""COMPUTED_VALUE"""),"22-23")</f>
        <v>22-23</v>
      </c>
    </row>
    <row r="72">
      <c r="A72" s="53" t="str">
        <f>IFERROR(__xludf.DUMMYFUNCTION("""COMPUTED_VALUE"""),"3300473531")</f>
        <v>3300473531</v>
      </c>
      <c r="B72" s="53" t="str">
        <f>IFERROR(__xludf.DUMMYFUNCTION("""COMPUTED_VALUE"""),"Winter")</f>
        <v>Winter</v>
      </c>
      <c r="C72" s="53" t="str">
        <f>IFERROR(__xludf.DUMMYFUNCTION("""COMPUTED_VALUE"""),"Ethan")</f>
        <v>Ethan</v>
      </c>
      <c r="D72" s="54">
        <f>IFERROR(__xludf.DUMMYFUNCTION("""COMPUTED_VALUE"""),7.0)</f>
        <v>7</v>
      </c>
      <c r="E72" s="53" t="str">
        <f>IFERROR(__xludf.DUMMYFUNCTION("""COMPUTED_VALUE"""),"M")</f>
        <v>M</v>
      </c>
      <c r="F72" s="53" t="str">
        <f>IFERROR(__xludf.DUMMYFUNCTION("""COMPUTED_VALUE"""),"No, not Hispanic or Latino")</f>
        <v>No, not Hispanic or Latino</v>
      </c>
      <c r="G72" s="53" t="str">
        <f>IFERROR(__xludf.DUMMYFUNCTION("""COMPUTED_VALUE"""),"White")</f>
        <v>White</v>
      </c>
      <c r="H72" s="54">
        <f>IFERROR(__xludf.DUMMYFUNCTION("""COMPUTED_VALUE"""),1058.0)</f>
        <v>1058</v>
      </c>
      <c r="I72" s="53" t="str">
        <f>IFERROR(__xludf.DUMMYFUNCTION("""COMPUTED_VALUE"""),"000329")</f>
        <v>000329</v>
      </c>
      <c r="J72" s="53" t="str">
        <f>IFERROR(__xludf.DUMMYFUNCTION("""COMPUTED_VALUE"""),"22-23")</f>
        <v>22-23</v>
      </c>
    </row>
    <row r="73">
      <c r="A73" s="53" t="str">
        <f>IFERROR(__xludf.DUMMYFUNCTION("""COMPUTED_VALUE"""),"5486438867")</f>
        <v>5486438867</v>
      </c>
      <c r="B73" s="53" t="str">
        <f>IFERROR(__xludf.DUMMYFUNCTION("""COMPUTED_VALUE"""),"Yee")</f>
        <v>Yee</v>
      </c>
      <c r="C73" s="53" t="str">
        <f>IFERROR(__xludf.DUMMYFUNCTION("""COMPUTED_VALUE"""),"Alina")</f>
        <v>Alina</v>
      </c>
      <c r="D73" s="54">
        <f>IFERROR(__xludf.DUMMYFUNCTION("""COMPUTED_VALUE"""),7.0)</f>
        <v>7</v>
      </c>
      <c r="E73" s="53" t="str">
        <f>IFERROR(__xludf.DUMMYFUNCTION("""COMPUTED_VALUE"""),"F")</f>
        <v>F</v>
      </c>
      <c r="F73" s="53" t="str">
        <f>IFERROR(__xludf.DUMMYFUNCTION("""COMPUTED_VALUE"""),"No, not Hispanic or Latino")</f>
        <v>No, not Hispanic or Latino</v>
      </c>
      <c r="G73" s="53" t="str">
        <f>IFERROR(__xludf.DUMMYFUNCTION("""COMPUTED_VALUE"""),"Chinese")</f>
        <v>Chinese</v>
      </c>
      <c r="H73" s="54">
        <f>IFERROR(__xludf.DUMMYFUNCTION("""COMPUTED_VALUE"""),1058.0)</f>
        <v>1058</v>
      </c>
      <c r="I73" s="53" t="str">
        <f>IFERROR(__xludf.DUMMYFUNCTION("""COMPUTED_VALUE"""),"000329")</f>
        <v>000329</v>
      </c>
      <c r="J73" s="53" t="str">
        <f>IFERROR(__xludf.DUMMYFUNCTION("""COMPUTED_VALUE"""),"22-23")</f>
        <v>22-23</v>
      </c>
    </row>
    <row r="74">
      <c r="A74" s="53" t="str">
        <f>IFERROR(__xludf.DUMMYFUNCTION("""COMPUTED_VALUE"""),"5984532505")</f>
        <v>5984532505</v>
      </c>
      <c r="B74" s="53" t="str">
        <f>IFERROR(__xludf.DUMMYFUNCTION("""COMPUTED_VALUE"""),"Allen")</f>
        <v>Allen</v>
      </c>
      <c r="C74" s="53" t="str">
        <f>IFERROR(__xludf.DUMMYFUNCTION("""COMPUTED_VALUE"""),"Savannah")</f>
        <v>Savannah</v>
      </c>
      <c r="D74" s="54">
        <f>IFERROR(__xludf.DUMMYFUNCTION("""COMPUTED_VALUE"""),7.0)</f>
        <v>7</v>
      </c>
      <c r="E74" s="53" t="str">
        <f>IFERROR(__xludf.DUMMYFUNCTION("""COMPUTED_VALUE"""),"F")</f>
        <v>F</v>
      </c>
      <c r="F74" s="53" t="str">
        <f>IFERROR(__xludf.DUMMYFUNCTION("""COMPUTED_VALUE"""),"No, not Hispanic or Latino")</f>
        <v>No, not Hispanic or Latino</v>
      </c>
      <c r="G74" s="53" t="str">
        <f>IFERROR(__xludf.DUMMYFUNCTION("""COMPUTED_VALUE"""),"White")</f>
        <v>White</v>
      </c>
      <c r="H74" s="54">
        <f>IFERROR(__xludf.DUMMYFUNCTION("""COMPUTED_VALUE"""),1073.0)</f>
        <v>1073</v>
      </c>
      <c r="I74" s="53" t="str">
        <f>IFERROR(__xludf.DUMMYFUNCTION("""COMPUTED_VALUE"""),"000329")</f>
        <v>000329</v>
      </c>
      <c r="J74" s="53" t="str">
        <f>IFERROR(__xludf.DUMMYFUNCTION("""COMPUTED_VALUE"""),"23-24")</f>
        <v>23-24</v>
      </c>
    </row>
    <row r="75">
      <c r="A75" s="53" t="str">
        <f>IFERROR(__xludf.DUMMYFUNCTION("""COMPUTED_VALUE"""),"4108914720")</f>
        <v>4108914720</v>
      </c>
      <c r="B75" s="53" t="str">
        <f>IFERROR(__xludf.DUMMYFUNCTION("""COMPUTED_VALUE"""),"Bogak")</f>
        <v>Bogak</v>
      </c>
      <c r="C75" s="53" t="str">
        <f>IFERROR(__xludf.DUMMYFUNCTION("""COMPUTED_VALUE"""),"Elizabeth")</f>
        <v>Elizabeth</v>
      </c>
      <c r="D75" s="54">
        <f>IFERROR(__xludf.DUMMYFUNCTION("""COMPUTED_VALUE"""),7.0)</f>
        <v>7</v>
      </c>
      <c r="E75" s="53" t="str">
        <f>IFERROR(__xludf.DUMMYFUNCTION("""COMPUTED_VALUE"""),"F")</f>
        <v>F</v>
      </c>
      <c r="F75" s="53" t="str">
        <f>IFERROR(__xludf.DUMMYFUNCTION("""COMPUTED_VALUE"""),"No, not Hispanic or Latino")</f>
        <v>No, not Hispanic or Latino</v>
      </c>
      <c r="G75" s="53" t="str">
        <f>IFERROR(__xludf.DUMMYFUNCTION("""COMPUTED_VALUE"""),"White")</f>
        <v>White</v>
      </c>
      <c r="H75" s="54">
        <f>IFERROR(__xludf.DUMMYFUNCTION("""COMPUTED_VALUE"""),1154.0)</f>
        <v>1154</v>
      </c>
      <c r="I75" s="53" t="str">
        <f>IFERROR(__xludf.DUMMYFUNCTION("""COMPUTED_VALUE"""),"000325")</f>
        <v>000325</v>
      </c>
      <c r="J75" s="53" t="str">
        <f>IFERROR(__xludf.DUMMYFUNCTION("""COMPUTED_VALUE"""),"23-24")</f>
        <v>23-24</v>
      </c>
    </row>
    <row r="76">
      <c r="A76" s="53" t="str">
        <f>IFERROR(__xludf.DUMMYFUNCTION("""COMPUTED_VALUE"""),"6220900732")</f>
        <v>6220900732</v>
      </c>
      <c r="B76" s="53" t="str">
        <f>IFERROR(__xludf.DUMMYFUNCTION("""COMPUTED_VALUE"""),"Boyd")</f>
        <v>Boyd</v>
      </c>
      <c r="C76" s="53" t="str">
        <f>IFERROR(__xludf.DUMMYFUNCTION("""COMPUTED_VALUE"""),"Lillian")</f>
        <v>Lillian</v>
      </c>
      <c r="D76" s="54">
        <f>IFERROR(__xludf.DUMMYFUNCTION("""COMPUTED_VALUE"""),7.0)</f>
        <v>7</v>
      </c>
      <c r="E76" s="53" t="str">
        <f>IFERROR(__xludf.DUMMYFUNCTION("""COMPUTED_VALUE"""),"F")</f>
        <v>F</v>
      </c>
      <c r="F76" s="53" t="str">
        <f>IFERROR(__xludf.DUMMYFUNCTION("""COMPUTED_VALUE"""),"No, not Hispanic or Latino")</f>
        <v>No, not Hispanic or Latino</v>
      </c>
      <c r="G76" s="53" t="str">
        <f>IFERROR(__xludf.DUMMYFUNCTION("""COMPUTED_VALUE"""),"White")</f>
        <v>White</v>
      </c>
      <c r="H76" s="54">
        <f>IFERROR(__xludf.DUMMYFUNCTION("""COMPUTED_VALUE"""),1151.0)</f>
        <v>1151</v>
      </c>
      <c r="I76" s="53" t="str">
        <f>IFERROR(__xludf.DUMMYFUNCTION("""COMPUTED_VALUE"""),"000325")</f>
        <v>000325</v>
      </c>
      <c r="J76" s="53" t="str">
        <f>IFERROR(__xludf.DUMMYFUNCTION("""COMPUTED_VALUE"""),"23-24")</f>
        <v>23-24</v>
      </c>
    </row>
    <row r="77">
      <c r="A77" s="53" t="str">
        <f>IFERROR(__xludf.DUMMYFUNCTION("""COMPUTED_VALUE"""),"9689604491")</f>
        <v>9689604491</v>
      </c>
      <c r="B77" s="53" t="str">
        <f>IFERROR(__xludf.DUMMYFUNCTION("""COMPUTED_VALUE"""),"Brill")</f>
        <v>Brill</v>
      </c>
      <c r="C77" s="53" t="str">
        <f>IFERROR(__xludf.DUMMYFUNCTION("""COMPUTED_VALUE"""),"Harper")</f>
        <v>Harper</v>
      </c>
      <c r="D77" s="54">
        <f>IFERROR(__xludf.DUMMYFUNCTION("""COMPUTED_VALUE"""),7.0)</f>
        <v>7</v>
      </c>
      <c r="E77" s="53" t="str">
        <f>IFERROR(__xludf.DUMMYFUNCTION("""COMPUTED_VALUE"""),"F")</f>
        <v>F</v>
      </c>
      <c r="F77" s="53" t="str">
        <f>IFERROR(__xludf.DUMMYFUNCTION("""COMPUTED_VALUE"""),"No, not Hispanic or Latino")</f>
        <v>No, not Hispanic or Latino</v>
      </c>
      <c r="G77" s="53" t="str">
        <f>IFERROR(__xludf.DUMMYFUNCTION("""COMPUTED_VALUE"""),"White")</f>
        <v>White</v>
      </c>
      <c r="H77" s="54">
        <f>IFERROR(__xludf.DUMMYFUNCTION("""COMPUTED_VALUE"""),1073.0)</f>
        <v>1073</v>
      </c>
      <c r="I77" s="53" t="str">
        <f>IFERROR(__xludf.DUMMYFUNCTION("""COMPUTED_VALUE"""),"000329")</f>
        <v>000329</v>
      </c>
      <c r="J77" s="53" t="str">
        <f>IFERROR(__xludf.DUMMYFUNCTION("""COMPUTED_VALUE"""),"23-24")</f>
        <v>23-24</v>
      </c>
    </row>
    <row r="78">
      <c r="A78" s="53" t="str">
        <f>IFERROR(__xludf.DUMMYFUNCTION("""COMPUTED_VALUE"""),"6923750016")</f>
        <v>6923750016</v>
      </c>
      <c r="B78" s="53" t="str">
        <f>IFERROR(__xludf.DUMMYFUNCTION("""COMPUTED_VALUE"""),"Burke")</f>
        <v>Burke</v>
      </c>
      <c r="C78" s="53" t="str">
        <f>IFERROR(__xludf.DUMMYFUNCTION("""COMPUTED_VALUE"""),"Tor")</f>
        <v>Tor</v>
      </c>
      <c r="D78" s="54">
        <f>IFERROR(__xludf.DUMMYFUNCTION("""COMPUTED_VALUE"""),7.0)</f>
        <v>7</v>
      </c>
      <c r="E78" s="53" t="str">
        <f>IFERROR(__xludf.DUMMYFUNCTION("""COMPUTED_VALUE"""),"M")</f>
        <v>M</v>
      </c>
      <c r="F78" s="53" t="str">
        <f>IFERROR(__xludf.DUMMYFUNCTION("""COMPUTED_VALUE"""),"No, not Hispanic or Latino")</f>
        <v>No, not Hispanic or Latino</v>
      </c>
      <c r="G78" s="53" t="str">
        <f>IFERROR(__xludf.DUMMYFUNCTION("""COMPUTED_VALUE"""),"White")</f>
        <v>White</v>
      </c>
      <c r="H78" s="54">
        <f>IFERROR(__xludf.DUMMYFUNCTION("""COMPUTED_VALUE"""),1151.0)</f>
        <v>1151</v>
      </c>
      <c r="I78" s="53" t="str">
        <f>IFERROR(__xludf.DUMMYFUNCTION("""COMPUTED_VALUE"""),"000325")</f>
        <v>000325</v>
      </c>
      <c r="J78" s="53" t="str">
        <f>IFERROR(__xludf.DUMMYFUNCTION("""COMPUTED_VALUE"""),"23-24")</f>
        <v>23-24</v>
      </c>
    </row>
    <row r="79">
      <c r="A79" s="53" t="str">
        <f>IFERROR(__xludf.DUMMYFUNCTION("""COMPUTED_VALUE"""),"2016291082")</f>
        <v>2016291082</v>
      </c>
      <c r="B79" s="53" t="str">
        <f>IFERROR(__xludf.DUMMYFUNCTION("""COMPUTED_VALUE"""),"Chew")</f>
        <v>Chew</v>
      </c>
      <c r="C79" s="53" t="str">
        <f>IFERROR(__xludf.DUMMYFUNCTION("""COMPUTED_VALUE"""),"Zoey")</f>
        <v>Zoey</v>
      </c>
      <c r="D79" s="54">
        <f>IFERROR(__xludf.DUMMYFUNCTION("""COMPUTED_VALUE"""),7.0)</f>
        <v>7</v>
      </c>
      <c r="E79" s="53" t="str">
        <f>IFERROR(__xludf.DUMMYFUNCTION("""COMPUTED_VALUE"""),"F")</f>
        <v>F</v>
      </c>
      <c r="F79" s="53" t="str">
        <f>IFERROR(__xludf.DUMMYFUNCTION("""COMPUTED_VALUE"""),"No, not Hispanic or Latino")</f>
        <v>No, not Hispanic or Latino</v>
      </c>
      <c r="G79" s="53" t="str">
        <f>IFERROR(__xludf.DUMMYFUNCTION("""COMPUTED_VALUE"""),"Chinese")</f>
        <v>Chinese</v>
      </c>
      <c r="H79" s="54">
        <f>IFERROR(__xludf.DUMMYFUNCTION("""COMPUTED_VALUE"""),1073.0)</f>
        <v>1073</v>
      </c>
      <c r="I79" s="53" t="str">
        <f>IFERROR(__xludf.DUMMYFUNCTION("""COMPUTED_VALUE"""),"000329")</f>
        <v>000329</v>
      </c>
      <c r="J79" s="53" t="str">
        <f>IFERROR(__xludf.DUMMYFUNCTION("""COMPUTED_VALUE"""),"23-24")</f>
        <v>23-24</v>
      </c>
    </row>
    <row r="80">
      <c r="A80" s="53" t="str">
        <f>IFERROR(__xludf.DUMMYFUNCTION("""COMPUTED_VALUE"""),"2031940800")</f>
        <v>2031940800</v>
      </c>
      <c r="B80" s="53" t="str">
        <f>IFERROR(__xludf.DUMMYFUNCTION("""COMPUTED_VALUE"""),"Denise")</f>
        <v>Denise</v>
      </c>
      <c r="C80" s="53" t="str">
        <f>IFERROR(__xludf.DUMMYFUNCTION("""COMPUTED_VALUE"""),"Max")</f>
        <v>Max</v>
      </c>
      <c r="D80" s="54">
        <f>IFERROR(__xludf.DUMMYFUNCTION("""COMPUTED_VALUE"""),7.0)</f>
        <v>7</v>
      </c>
      <c r="E80" s="53" t="str">
        <f>IFERROR(__xludf.DUMMYFUNCTION("""COMPUTED_VALUE"""),"M")</f>
        <v>M</v>
      </c>
      <c r="F80" s="53" t="str">
        <f>IFERROR(__xludf.DUMMYFUNCTION("""COMPUTED_VALUE"""),"No, not Hispanic or Latino")</f>
        <v>No, not Hispanic or Latino</v>
      </c>
      <c r="G80" s="53" t="str">
        <f>IFERROR(__xludf.DUMMYFUNCTION("""COMPUTED_VALUE"""),"White")</f>
        <v>White</v>
      </c>
      <c r="H80" s="54">
        <f>IFERROR(__xludf.DUMMYFUNCTION("""COMPUTED_VALUE"""),1073.0)</f>
        <v>1073</v>
      </c>
      <c r="I80" s="53" t="str">
        <f>IFERROR(__xludf.DUMMYFUNCTION("""COMPUTED_VALUE"""),"000329")</f>
        <v>000329</v>
      </c>
      <c r="J80" s="53" t="str">
        <f>IFERROR(__xludf.DUMMYFUNCTION("""COMPUTED_VALUE"""),"23-24")</f>
        <v>23-24</v>
      </c>
    </row>
    <row r="81">
      <c r="A81" s="53" t="str">
        <f>IFERROR(__xludf.DUMMYFUNCTION("""COMPUTED_VALUE"""),"5569329598")</f>
        <v>5569329598</v>
      </c>
      <c r="B81" s="53" t="str">
        <f>IFERROR(__xludf.DUMMYFUNCTION("""COMPUTED_VALUE"""),"Diaconu")</f>
        <v>Diaconu</v>
      </c>
      <c r="C81" s="53" t="str">
        <f>IFERROR(__xludf.DUMMYFUNCTION("""COMPUTED_VALUE"""),"Sebastian")</f>
        <v>Sebastian</v>
      </c>
      <c r="D81" s="54">
        <f>IFERROR(__xludf.DUMMYFUNCTION("""COMPUTED_VALUE"""),7.0)</f>
        <v>7</v>
      </c>
      <c r="E81" s="53" t="str">
        <f>IFERROR(__xludf.DUMMYFUNCTION("""COMPUTED_VALUE"""),"M")</f>
        <v>M</v>
      </c>
      <c r="F81" s="53" t="str">
        <f>IFERROR(__xludf.DUMMYFUNCTION("""COMPUTED_VALUE"""),"No, not Hispanic or Latino")</f>
        <v>No, not Hispanic or Latino</v>
      </c>
      <c r="G81" s="53" t="str">
        <f>IFERROR(__xludf.DUMMYFUNCTION("""COMPUTED_VALUE"""),"White")</f>
        <v>White</v>
      </c>
      <c r="H81" s="54">
        <f>IFERROR(__xludf.DUMMYFUNCTION("""COMPUTED_VALUE"""),1151.0)</f>
        <v>1151</v>
      </c>
      <c r="I81" s="53" t="str">
        <f>IFERROR(__xludf.DUMMYFUNCTION("""COMPUTED_VALUE"""),"000325")</f>
        <v>000325</v>
      </c>
      <c r="J81" s="53" t="str">
        <f>IFERROR(__xludf.DUMMYFUNCTION("""COMPUTED_VALUE"""),"23-24")</f>
        <v>23-24</v>
      </c>
    </row>
    <row r="82">
      <c r="A82" s="53" t="str">
        <f>IFERROR(__xludf.DUMMYFUNCTION("""COMPUTED_VALUE"""),"2470549375")</f>
        <v>2470549375</v>
      </c>
      <c r="B82" s="53" t="str">
        <f>IFERROR(__xludf.DUMMYFUNCTION("""COMPUTED_VALUE"""),"Disharoon")</f>
        <v>Disharoon</v>
      </c>
      <c r="C82" s="53" t="str">
        <f>IFERROR(__xludf.DUMMYFUNCTION("""COMPUTED_VALUE"""),"Phoebe")</f>
        <v>Phoebe</v>
      </c>
      <c r="D82" s="54">
        <f>IFERROR(__xludf.DUMMYFUNCTION("""COMPUTED_VALUE"""),7.0)</f>
        <v>7</v>
      </c>
      <c r="E82" s="53" t="str">
        <f>IFERROR(__xludf.DUMMYFUNCTION("""COMPUTED_VALUE"""),"F")</f>
        <v>F</v>
      </c>
      <c r="F82" s="53" t="str">
        <f>IFERROR(__xludf.DUMMYFUNCTION("""COMPUTED_VALUE"""),"No, not Hispanic or Latino")</f>
        <v>No, not Hispanic or Latino</v>
      </c>
      <c r="G82" s="53" t="str">
        <f>IFERROR(__xludf.DUMMYFUNCTION("""COMPUTED_VALUE"""),"White")</f>
        <v>White</v>
      </c>
      <c r="H82" s="54">
        <f>IFERROR(__xludf.DUMMYFUNCTION("""COMPUTED_VALUE"""),1073.0)</f>
        <v>1073</v>
      </c>
      <c r="I82" s="53" t="str">
        <f>IFERROR(__xludf.DUMMYFUNCTION("""COMPUTED_VALUE"""),"000329")</f>
        <v>000329</v>
      </c>
      <c r="J82" s="53" t="str">
        <f>IFERROR(__xludf.DUMMYFUNCTION("""COMPUTED_VALUE"""),"23-24")</f>
        <v>23-24</v>
      </c>
    </row>
    <row r="83">
      <c r="A83" s="53" t="str">
        <f>IFERROR(__xludf.DUMMYFUNCTION("""COMPUTED_VALUE"""),"4912243143")</f>
        <v>4912243143</v>
      </c>
      <c r="B83" s="53" t="str">
        <f>IFERROR(__xludf.DUMMYFUNCTION("""COMPUTED_VALUE"""),"Dowd")</f>
        <v>Dowd</v>
      </c>
      <c r="C83" s="53" t="str">
        <f>IFERROR(__xludf.DUMMYFUNCTION("""COMPUTED_VALUE"""),"Kayden")</f>
        <v>Kayden</v>
      </c>
      <c r="D83" s="54">
        <f>IFERROR(__xludf.DUMMYFUNCTION("""COMPUTED_VALUE"""),7.0)</f>
        <v>7</v>
      </c>
      <c r="E83" s="53" t="str">
        <f>IFERROR(__xludf.DUMMYFUNCTION("""COMPUTED_VALUE"""),"M")</f>
        <v>M</v>
      </c>
      <c r="F83" s="53" t="str">
        <f>IFERROR(__xludf.DUMMYFUNCTION("""COMPUTED_VALUE"""),"No, not Hispanic or Latino")</f>
        <v>No, not Hispanic or Latino</v>
      </c>
      <c r="G83" s="53" t="str">
        <f>IFERROR(__xludf.DUMMYFUNCTION("""COMPUTED_VALUE"""),"White")</f>
        <v>White</v>
      </c>
      <c r="H83" s="54">
        <f>IFERROR(__xludf.DUMMYFUNCTION("""COMPUTED_VALUE"""),1073.0)</f>
        <v>1073</v>
      </c>
      <c r="I83" s="53" t="str">
        <f>IFERROR(__xludf.DUMMYFUNCTION("""COMPUTED_VALUE"""),"000329")</f>
        <v>000329</v>
      </c>
      <c r="J83" s="53" t="str">
        <f>IFERROR(__xludf.DUMMYFUNCTION("""COMPUTED_VALUE"""),"23-24")</f>
        <v>23-24</v>
      </c>
    </row>
    <row r="84">
      <c r="A84" s="53" t="str">
        <f>IFERROR(__xludf.DUMMYFUNCTION("""COMPUTED_VALUE"""),"3606424571")</f>
        <v>3606424571</v>
      </c>
      <c r="B84" s="53" t="str">
        <f>IFERROR(__xludf.DUMMYFUNCTION("""COMPUTED_VALUE"""),"Durham")</f>
        <v>Durham</v>
      </c>
      <c r="C84" s="53" t="str">
        <f>IFERROR(__xludf.DUMMYFUNCTION("""COMPUTED_VALUE"""),"Maia")</f>
        <v>Maia</v>
      </c>
      <c r="D84" s="54">
        <f>IFERROR(__xludf.DUMMYFUNCTION("""COMPUTED_VALUE"""),7.0)</f>
        <v>7</v>
      </c>
      <c r="E84" s="53" t="str">
        <f>IFERROR(__xludf.DUMMYFUNCTION("""COMPUTED_VALUE"""),"F")</f>
        <v>F</v>
      </c>
      <c r="F84" s="53" t="str">
        <f>IFERROR(__xludf.DUMMYFUNCTION("""COMPUTED_VALUE"""),"No, not Hispanic or Latino")</f>
        <v>No, not Hispanic or Latino</v>
      </c>
      <c r="G84" s="53" t="str">
        <f>IFERROR(__xludf.DUMMYFUNCTION("""COMPUTED_VALUE"""),"White")</f>
        <v>White</v>
      </c>
      <c r="H84" s="54">
        <f>IFERROR(__xludf.DUMMYFUNCTION("""COMPUTED_VALUE"""),1149.0)</f>
        <v>1149</v>
      </c>
      <c r="I84" s="53" t="str">
        <f>IFERROR(__xludf.DUMMYFUNCTION("""COMPUTED_VALUE"""),"000325")</f>
        <v>000325</v>
      </c>
      <c r="J84" s="53" t="str">
        <f>IFERROR(__xludf.DUMMYFUNCTION("""COMPUTED_VALUE"""),"23-24")</f>
        <v>23-24</v>
      </c>
    </row>
    <row r="85">
      <c r="A85" s="53" t="str">
        <f>IFERROR(__xludf.DUMMYFUNCTION("""COMPUTED_VALUE"""),"6403475564")</f>
        <v>6403475564</v>
      </c>
      <c r="B85" s="53" t="str">
        <f>IFERROR(__xludf.DUMMYFUNCTION("""COMPUTED_VALUE"""),"Garritano")</f>
        <v>Garritano</v>
      </c>
      <c r="C85" s="53" t="str">
        <f>IFERROR(__xludf.DUMMYFUNCTION("""COMPUTED_VALUE"""),"Nico")</f>
        <v>Nico</v>
      </c>
      <c r="D85" s="54">
        <f>IFERROR(__xludf.DUMMYFUNCTION("""COMPUTED_VALUE"""),7.0)</f>
        <v>7</v>
      </c>
      <c r="E85" s="53" t="str">
        <f>IFERROR(__xludf.DUMMYFUNCTION("""COMPUTED_VALUE"""),"M")</f>
        <v>M</v>
      </c>
      <c r="F85" s="53" t="str">
        <f>IFERROR(__xludf.DUMMYFUNCTION("""COMPUTED_VALUE"""),"No, not Hispanic or Latino")</f>
        <v>No, not Hispanic or Latino</v>
      </c>
      <c r="G85" s="53" t="str">
        <f>IFERROR(__xludf.DUMMYFUNCTION("""COMPUTED_VALUE"""),"White")</f>
        <v>White</v>
      </c>
      <c r="H85" s="54">
        <f>IFERROR(__xludf.DUMMYFUNCTION("""COMPUTED_VALUE"""),1152.0)</f>
        <v>1152</v>
      </c>
      <c r="I85" s="53" t="str">
        <f>IFERROR(__xludf.DUMMYFUNCTION("""COMPUTED_VALUE"""),"000325")</f>
        <v>000325</v>
      </c>
      <c r="J85" s="53" t="str">
        <f>IFERROR(__xludf.DUMMYFUNCTION("""COMPUTED_VALUE"""),"23-24")</f>
        <v>23-24</v>
      </c>
    </row>
    <row r="86">
      <c r="A86" s="53" t="str">
        <f>IFERROR(__xludf.DUMMYFUNCTION("""COMPUTED_VALUE"""),"2537539288")</f>
        <v>2537539288</v>
      </c>
      <c r="B86" s="53" t="str">
        <f>IFERROR(__xludf.DUMMYFUNCTION("""COMPUTED_VALUE"""),"Gillespie")</f>
        <v>Gillespie</v>
      </c>
      <c r="C86" s="53" t="str">
        <f>IFERROR(__xludf.DUMMYFUNCTION("""COMPUTED_VALUE"""),"Ilaria")</f>
        <v>Ilaria</v>
      </c>
      <c r="D86" s="54">
        <f>IFERROR(__xludf.DUMMYFUNCTION("""COMPUTED_VALUE"""),7.0)</f>
        <v>7</v>
      </c>
      <c r="E86" s="53" t="str">
        <f>IFERROR(__xludf.DUMMYFUNCTION("""COMPUTED_VALUE"""),"F")</f>
        <v>F</v>
      </c>
      <c r="F86" s="53" t="str">
        <f>IFERROR(__xludf.DUMMYFUNCTION("""COMPUTED_VALUE"""),"No, not Hispanic or Latino")</f>
        <v>No, not Hispanic or Latino</v>
      </c>
      <c r="G86" s="53" t="str">
        <f>IFERROR(__xludf.DUMMYFUNCTION("""COMPUTED_VALUE"""),"White")</f>
        <v>White</v>
      </c>
      <c r="H86" s="54">
        <f>IFERROR(__xludf.DUMMYFUNCTION("""COMPUTED_VALUE"""),1150.0)</f>
        <v>1150</v>
      </c>
      <c r="I86" s="53" t="str">
        <f>IFERROR(__xludf.DUMMYFUNCTION("""COMPUTED_VALUE"""),"000325")</f>
        <v>000325</v>
      </c>
      <c r="J86" s="53" t="str">
        <f>IFERROR(__xludf.DUMMYFUNCTION("""COMPUTED_VALUE"""),"23-24")</f>
        <v>23-24</v>
      </c>
    </row>
    <row r="87">
      <c r="A87" s="53" t="str">
        <f>IFERROR(__xludf.DUMMYFUNCTION("""COMPUTED_VALUE"""),"6721984844")</f>
        <v>6721984844</v>
      </c>
      <c r="B87" s="53" t="str">
        <f>IFERROR(__xludf.DUMMYFUNCTION("""COMPUTED_VALUE"""),"Glover")</f>
        <v>Glover</v>
      </c>
      <c r="C87" s="53" t="str">
        <f>IFERROR(__xludf.DUMMYFUNCTION("""COMPUTED_VALUE"""),"Sofia")</f>
        <v>Sofia</v>
      </c>
      <c r="D87" s="54">
        <f>IFERROR(__xludf.DUMMYFUNCTION("""COMPUTED_VALUE"""),7.0)</f>
        <v>7</v>
      </c>
      <c r="E87" s="53" t="str">
        <f>IFERROR(__xludf.DUMMYFUNCTION("""COMPUTED_VALUE"""),"F")</f>
        <v>F</v>
      </c>
      <c r="F87" s="53" t="str">
        <f>IFERROR(__xludf.DUMMYFUNCTION("""COMPUTED_VALUE"""),"No, not Hispanic or Latino")</f>
        <v>No, not Hispanic or Latino</v>
      </c>
      <c r="G87" s="53" t="str">
        <f>IFERROR(__xludf.DUMMYFUNCTION("""COMPUTED_VALUE"""),"White")</f>
        <v>White</v>
      </c>
      <c r="H87" s="54">
        <f>IFERROR(__xludf.DUMMYFUNCTION("""COMPUTED_VALUE"""),1073.0)</f>
        <v>1073</v>
      </c>
      <c r="I87" s="53" t="str">
        <f>IFERROR(__xludf.DUMMYFUNCTION("""COMPUTED_VALUE"""),"000329")</f>
        <v>000329</v>
      </c>
      <c r="J87" s="53" t="str">
        <f>IFERROR(__xludf.DUMMYFUNCTION("""COMPUTED_VALUE"""),"23-24")</f>
        <v>23-24</v>
      </c>
    </row>
    <row r="88">
      <c r="A88" s="53" t="str">
        <f>IFERROR(__xludf.DUMMYFUNCTION("""COMPUTED_VALUE"""),"6243852903")</f>
        <v>6243852903</v>
      </c>
      <c r="B88" s="53" t="str">
        <f>IFERROR(__xludf.DUMMYFUNCTION("""COMPUTED_VALUE"""),"Gomez")</f>
        <v>Gomez</v>
      </c>
      <c r="C88" s="53" t="str">
        <f>IFERROR(__xludf.DUMMYFUNCTION("""COMPUTED_VALUE"""),"Belen")</f>
        <v>Belen</v>
      </c>
      <c r="D88" s="54">
        <f>IFERROR(__xludf.DUMMYFUNCTION("""COMPUTED_VALUE"""),7.0)</f>
        <v>7</v>
      </c>
      <c r="E88" s="53" t="str">
        <f>IFERROR(__xludf.DUMMYFUNCTION("""COMPUTED_VALUE"""),"F")</f>
        <v>F</v>
      </c>
      <c r="F88" s="53" t="str">
        <f>IFERROR(__xludf.DUMMYFUNCTION("""COMPUTED_VALUE"""),"Yes, Hispanic or Latino")</f>
        <v>Yes, Hispanic or Latino</v>
      </c>
      <c r="G88" s="53" t="str">
        <f>IFERROR(__xludf.DUMMYFUNCTION("""COMPUTED_VALUE"""),"No Answer Provided")</f>
        <v>No Answer Provided</v>
      </c>
      <c r="H88" s="54">
        <f>IFERROR(__xludf.DUMMYFUNCTION("""COMPUTED_VALUE"""),1152.0)</f>
        <v>1152</v>
      </c>
      <c r="I88" s="53" t="str">
        <f>IFERROR(__xludf.DUMMYFUNCTION("""COMPUTED_VALUE"""),"000325")</f>
        <v>000325</v>
      </c>
      <c r="J88" s="53" t="str">
        <f>IFERROR(__xludf.DUMMYFUNCTION("""COMPUTED_VALUE"""),"23-24")</f>
        <v>23-24</v>
      </c>
    </row>
    <row r="89">
      <c r="A89" s="53" t="str">
        <f>IFERROR(__xludf.DUMMYFUNCTION("""COMPUTED_VALUE"""),"8250521916")</f>
        <v>8250521916</v>
      </c>
      <c r="B89" s="53" t="str">
        <f>IFERROR(__xludf.DUMMYFUNCTION("""COMPUTED_VALUE"""),"Hoxsey")</f>
        <v>Hoxsey</v>
      </c>
      <c r="C89" s="53" t="str">
        <f>IFERROR(__xludf.DUMMYFUNCTION("""COMPUTED_VALUE"""),"Alina")</f>
        <v>Alina</v>
      </c>
      <c r="D89" s="54">
        <f>IFERROR(__xludf.DUMMYFUNCTION("""COMPUTED_VALUE"""),7.0)</f>
        <v>7</v>
      </c>
      <c r="E89" s="53" t="str">
        <f>IFERROR(__xludf.DUMMYFUNCTION("""COMPUTED_VALUE"""),"F")</f>
        <v>F</v>
      </c>
      <c r="F89" s="53" t="str">
        <f>IFERROR(__xludf.DUMMYFUNCTION("""COMPUTED_VALUE"""),"No, not Hispanic or Latino")</f>
        <v>No, not Hispanic or Latino</v>
      </c>
      <c r="G89" s="53" t="str">
        <f>IFERROR(__xludf.DUMMYFUNCTION("""COMPUTED_VALUE"""),"White")</f>
        <v>White</v>
      </c>
      <c r="H89" s="54">
        <f>IFERROR(__xludf.DUMMYFUNCTION("""COMPUTED_VALUE"""),1073.0)</f>
        <v>1073</v>
      </c>
      <c r="I89" s="53" t="str">
        <f>IFERROR(__xludf.DUMMYFUNCTION("""COMPUTED_VALUE"""),"000329")</f>
        <v>000329</v>
      </c>
      <c r="J89" s="53" t="str">
        <f>IFERROR(__xludf.DUMMYFUNCTION("""COMPUTED_VALUE"""),"23-24")</f>
        <v>23-24</v>
      </c>
    </row>
    <row r="90">
      <c r="A90" s="53" t="str">
        <f>IFERROR(__xludf.DUMMYFUNCTION("""COMPUTED_VALUE"""),"8483655036")</f>
        <v>8483655036</v>
      </c>
      <c r="B90" s="53" t="str">
        <f>IFERROR(__xludf.DUMMYFUNCTION("""COMPUTED_VALUE"""),"Jaeger")</f>
        <v>Jaeger</v>
      </c>
      <c r="C90" s="53" t="str">
        <f>IFERROR(__xludf.DUMMYFUNCTION("""COMPUTED_VALUE"""),"Dylan")</f>
        <v>Dylan</v>
      </c>
      <c r="D90" s="54">
        <f>IFERROR(__xludf.DUMMYFUNCTION("""COMPUTED_VALUE"""),7.0)</f>
        <v>7</v>
      </c>
      <c r="E90" s="53" t="str">
        <f>IFERROR(__xludf.DUMMYFUNCTION("""COMPUTED_VALUE"""),"F")</f>
        <v>F</v>
      </c>
      <c r="F90" s="53" t="str">
        <f>IFERROR(__xludf.DUMMYFUNCTION("""COMPUTED_VALUE"""),"No, not Hispanic or Latino")</f>
        <v>No, not Hispanic or Latino</v>
      </c>
      <c r="G90" s="53" t="str">
        <f>IFERROR(__xludf.DUMMYFUNCTION("""COMPUTED_VALUE"""),"White")</f>
        <v>White</v>
      </c>
      <c r="H90" s="54">
        <f>IFERROR(__xludf.DUMMYFUNCTION("""COMPUTED_VALUE"""),1073.0)</f>
        <v>1073</v>
      </c>
      <c r="I90" s="53" t="str">
        <f>IFERROR(__xludf.DUMMYFUNCTION("""COMPUTED_VALUE"""),"000329")</f>
        <v>000329</v>
      </c>
      <c r="J90" s="53" t="str">
        <f>IFERROR(__xludf.DUMMYFUNCTION("""COMPUTED_VALUE"""),"23-24")</f>
        <v>23-24</v>
      </c>
    </row>
    <row r="91">
      <c r="A91" s="53" t="str">
        <f>IFERROR(__xludf.DUMMYFUNCTION("""COMPUTED_VALUE"""),"1313719200")</f>
        <v>1313719200</v>
      </c>
      <c r="B91" s="53" t="str">
        <f>IFERROR(__xludf.DUMMYFUNCTION("""COMPUTED_VALUE"""),"King")</f>
        <v>King</v>
      </c>
      <c r="C91" s="53" t="str">
        <f>IFERROR(__xludf.DUMMYFUNCTION("""COMPUTED_VALUE"""),"Samuel")</f>
        <v>Samuel</v>
      </c>
      <c r="D91" s="54">
        <f>IFERROR(__xludf.DUMMYFUNCTION("""COMPUTED_VALUE"""),7.0)</f>
        <v>7</v>
      </c>
      <c r="E91" s="53" t="str">
        <f>IFERROR(__xludf.DUMMYFUNCTION("""COMPUTED_VALUE"""),"M")</f>
        <v>M</v>
      </c>
      <c r="F91" s="53" t="str">
        <f>IFERROR(__xludf.DUMMYFUNCTION("""COMPUTED_VALUE"""),"No, not Hispanic or Latino")</f>
        <v>No, not Hispanic or Latino</v>
      </c>
      <c r="G91" s="53" t="str">
        <f>IFERROR(__xludf.DUMMYFUNCTION("""COMPUTED_VALUE"""),"White")</f>
        <v>White</v>
      </c>
      <c r="H91" s="54">
        <f>IFERROR(__xludf.DUMMYFUNCTION("""COMPUTED_VALUE"""),1153.0)</f>
        <v>1153</v>
      </c>
      <c r="I91" s="53" t="str">
        <f>IFERROR(__xludf.DUMMYFUNCTION("""COMPUTED_VALUE"""),"000325")</f>
        <v>000325</v>
      </c>
      <c r="J91" s="53" t="str">
        <f>IFERROR(__xludf.DUMMYFUNCTION("""COMPUTED_VALUE"""),"23-24")</f>
        <v>23-24</v>
      </c>
    </row>
    <row r="92">
      <c r="A92" s="53" t="str">
        <f>IFERROR(__xludf.DUMMYFUNCTION("""COMPUTED_VALUE"""),"9716865794")</f>
        <v>9716865794</v>
      </c>
      <c r="B92" s="53" t="str">
        <f>IFERROR(__xludf.DUMMYFUNCTION("""COMPUTED_VALUE"""),"Laffer")</f>
        <v>Laffer</v>
      </c>
      <c r="C92" s="53" t="str">
        <f>IFERROR(__xludf.DUMMYFUNCTION("""COMPUTED_VALUE"""),"Fern")</f>
        <v>Fern</v>
      </c>
      <c r="D92" s="54">
        <f>IFERROR(__xludf.DUMMYFUNCTION("""COMPUTED_VALUE"""),7.0)</f>
        <v>7</v>
      </c>
      <c r="E92" s="53" t="str">
        <f>IFERROR(__xludf.DUMMYFUNCTION("""COMPUTED_VALUE"""),"F")</f>
        <v>F</v>
      </c>
      <c r="F92" s="53" t="str">
        <f>IFERROR(__xludf.DUMMYFUNCTION("""COMPUTED_VALUE"""),"No, not Hispanic or Latino")</f>
        <v>No, not Hispanic or Latino</v>
      </c>
      <c r="G92" s="53" t="str">
        <f>IFERROR(__xludf.DUMMYFUNCTION("""COMPUTED_VALUE"""),"White")</f>
        <v>White</v>
      </c>
      <c r="H92" s="54">
        <f>IFERROR(__xludf.DUMMYFUNCTION("""COMPUTED_VALUE"""),1073.0)</f>
        <v>1073</v>
      </c>
      <c r="I92" s="53" t="str">
        <f>IFERROR(__xludf.DUMMYFUNCTION("""COMPUTED_VALUE"""),"000329")</f>
        <v>000329</v>
      </c>
      <c r="J92" s="53" t="str">
        <f>IFERROR(__xludf.DUMMYFUNCTION("""COMPUTED_VALUE"""),"23-24")</f>
        <v>23-24</v>
      </c>
    </row>
    <row r="93">
      <c r="A93" s="53" t="str">
        <f>IFERROR(__xludf.DUMMYFUNCTION("""COMPUTED_VALUE"""),"1142765976")</f>
        <v>1142765976</v>
      </c>
      <c r="B93" s="53" t="str">
        <f>IFERROR(__xludf.DUMMYFUNCTION("""COMPUTED_VALUE"""),"Lin")</f>
        <v>Lin</v>
      </c>
      <c r="C93" s="53" t="str">
        <f>IFERROR(__xludf.DUMMYFUNCTION("""COMPUTED_VALUE"""),"Peijia")</f>
        <v>Peijia</v>
      </c>
      <c r="D93" s="54">
        <f>IFERROR(__xludf.DUMMYFUNCTION("""COMPUTED_VALUE"""),7.0)</f>
        <v>7</v>
      </c>
      <c r="E93" s="53" t="str">
        <f>IFERROR(__xludf.DUMMYFUNCTION("""COMPUTED_VALUE"""),"F")</f>
        <v>F</v>
      </c>
      <c r="F93" s="53" t="str">
        <f>IFERROR(__xludf.DUMMYFUNCTION("""COMPUTED_VALUE"""),"No, not Hispanic or Latino")</f>
        <v>No, not Hispanic or Latino</v>
      </c>
      <c r="G93" s="53" t="str">
        <f>IFERROR(__xludf.DUMMYFUNCTION("""COMPUTED_VALUE"""),"Chinese")</f>
        <v>Chinese</v>
      </c>
      <c r="H93" s="54">
        <f>IFERROR(__xludf.DUMMYFUNCTION("""COMPUTED_VALUE"""),1153.0)</f>
        <v>1153</v>
      </c>
      <c r="I93" s="53" t="str">
        <f>IFERROR(__xludf.DUMMYFUNCTION("""COMPUTED_VALUE"""),"000325")</f>
        <v>000325</v>
      </c>
      <c r="J93" s="53" t="str">
        <f>IFERROR(__xludf.DUMMYFUNCTION("""COMPUTED_VALUE"""),"23-24")</f>
        <v>23-24</v>
      </c>
    </row>
    <row r="94">
      <c r="A94" s="53" t="str">
        <f>IFERROR(__xludf.DUMMYFUNCTION("""COMPUTED_VALUE"""),"2832201178")</f>
        <v>2832201178</v>
      </c>
      <c r="B94" s="53" t="str">
        <f>IFERROR(__xludf.DUMMYFUNCTION("""COMPUTED_VALUE"""),"Mathews")</f>
        <v>Mathews</v>
      </c>
      <c r="C94" s="53" t="str">
        <f>IFERROR(__xludf.DUMMYFUNCTION("""COMPUTED_VALUE"""),"Isaac")</f>
        <v>Isaac</v>
      </c>
      <c r="D94" s="54">
        <f>IFERROR(__xludf.DUMMYFUNCTION("""COMPUTED_VALUE"""),7.0)</f>
        <v>7</v>
      </c>
      <c r="E94" s="53" t="str">
        <f>IFERROR(__xludf.DUMMYFUNCTION("""COMPUTED_VALUE"""),"M")</f>
        <v>M</v>
      </c>
      <c r="F94" s="53" t="str">
        <f>IFERROR(__xludf.DUMMYFUNCTION("""COMPUTED_VALUE"""),"No, not Hispanic or Latino")</f>
        <v>No, not Hispanic or Latino</v>
      </c>
      <c r="G94" s="53" t="str">
        <f>IFERROR(__xludf.DUMMYFUNCTION("""COMPUTED_VALUE"""),"White")</f>
        <v>White</v>
      </c>
      <c r="H94" s="54">
        <f>IFERROR(__xludf.DUMMYFUNCTION("""COMPUTED_VALUE"""),1154.0)</f>
        <v>1154</v>
      </c>
      <c r="I94" s="53" t="str">
        <f>IFERROR(__xludf.DUMMYFUNCTION("""COMPUTED_VALUE"""),"000325")</f>
        <v>000325</v>
      </c>
      <c r="J94" s="53" t="str">
        <f>IFERROR(__xludf.DUMMYFUNCTION("""COMPUTED_VALUE"""),"23-24")</f>
        <v>23-24</v>
      </c>
    </row>
    <row r="95">
      <c r="A95" s="53" t="str">
        <f>IFERROR(__xludf.DUMMYFUNCTION("""COMPUTED_VALUE"""),"6060739408")</f>
        <v>6060739408</v>
      </c>
      <c r="B95" s="53" t="str">
        <f>IFERROR(__xludf.DUMMYFUNCTION("""COMPUTED_VALUE"""),"Mbaidjol")</f>
        <v>Mbaidjol</v>
      </c>
      <c r="C95" s="53" t="str">
        <f>IFERROR(__xludf.DUMMYFUNCTION("""COMPUTED_VALUE"""),"Zara")</f>
        <v>Zara</v>
      </c>
      <c r="D95" s="54">
        <f>IFERROR(__xludf.DUMMYFUNCTION("""COMPUTED_VALUE"""),7.0)</f>
        <v>7</v>
      </c>
      <c r="E95" s="53" t="str">
        <f>IFERROR(__xludf.DUMMYFUNCTION("""COMPUTED_VALUE"""),"F")</f>
        <v>F</v>
      </c>
      <c r="F95" s="53" t="str">
        <f>IFERROR(__xludf.DUMMYFUNCTION("""COMPUTED_VALUE"""),"No, not Hispanic or Latino")</f>
        <v>No, not Hispanic or Latino</v>
      </c>
      <c r="G95" s="53" t="str">
        <f>IFERROR(__xludf.DUMMYFUNCTION("""COMPUTED_VALUE"""),"Black or African American")</f>
        <v>Black or African American</v>
      </c>
      <c r="H95" s="54">
        <f>IFERROR(__xludf.DUMMYFUNCTION("""COMPUTED_VALUE"""),1152.0)</f>
        <v>1152</v>
      </c>
      <c r="I95" s="53" t="str">
        <f>IFERROR(__xludf.DUMMYFUNCTION("""COMPUTED_VALUE"""),"000325")</f>
        <v>000325</v>
      </c>
      <c r="J95" s="53" t="str">
        <f>IFERROR(__xludf.DUMMYFUNCTION("""COMPUTED_VALUE"""),"23-24")</f>
        <v>23-24</v>
      </c>
    </row>
    <row r="96">
      <c r="A96" s="53" t="str">
        <f>IFERROR(__xludf.DUMMYFUNCTION("""COMPUTED_VALUE"""),"3609929632")</f>
        <v>3609929632</v>
      </c>
      <c r="B96" s="53" t="str">
        <f>IFERROR(__xludf.DUMMYFUNCTION("""COMPUTED_VALUE"""),"McDermott")</f>
        <v>McDermott</v>
      </c>
      <c r="C96" s="53" t="str">
        <f>IFERROR(__xludf.DUMMYFUNCTION("""COMPUTED_VALUE"""),"Emily")</f>
        <v>Emily</v>
      </c>
      <c r="D96" s="54">
        <f>IFERROR(__xludf.DUMMYFUNCTION("""COMPUTED_VALUE"""),7.0)</f>
        <v>7</v>
      </c>
      <c r="E96" s="53" t="str">
        <f>IFERROR(__xludf.DUMMYFUNCTION("""COMPUTED_VALUE"""),"F")</f>
        <v>F</v>
      </c>
      <c r="F96" s="53" t="str">
        <f>IFERROR(__xludf.DUMMYFUNCTION("""COMPUTED_VALUE"""),"No, not Hispanic or Latino")</f>
        <v>No, not Hispanic or Latino</v>
      </c>
      <c r="G96" s="53" t="str">
        <f>IFERROR(__xludf.DUMMYFUNCTION("""COMPUTED_VALUE"""),"White")</f>
        <v>White</v>
      </c>
      <c r="H96" s="54">
        <f>IFERROR(__xludf.DUMMYFUNCTION("""COMPUTED_VALUE"""),1073.0)</f>
        <v>1073</v>
      </c>
      <c r="I96" s="53" t="str">
        <f>IFERROR(__xludf.DUMMYFUNCTION("""COMPUTED_VALUE"""),"000329")</f>
        <v>000329</v>
      </c>
      <c r="J96" s="53" t="str">
        <f>IFERROR(__xludf.DUMMYFUNCTION("""COMPUTED_VALUE"""),"23-24")</f>
        <v>23-24</v>
      </c>
    </row>
    <row r="97">
      <c r="A97" s="53" t="str">
        <f>IFERROR(__xludf.DUMMYFUNCTION("""COMPUTED_VALUE"""),"3551865930")</f>
        <v>3551865930</v>
      </c>
      <c r="B97" s="53" t="str">
        <f>IFERROR(__xludf.DUMMYFUNCTION("""COMPUTED_VALUE"""),"Melenkivitz")</f>
        <v>Melenkivitz</v>
      </c>
      <c r="C97" s="53" t="str">
        <f>IFERROR(__xludf.DUMMYFUNCTION("""COMPUTED_VALUE"""),"Avery")</f>
        <v>Avery</v>
      </c>
      <c r="D97" s="54">
        <f>IFERROR(__xludf.DUMMYFUNCTION("""COMPUTED_VALUE"""),7.0)</f>
        <v>7</v>
      </c>
      <c r="E97" s="53" t="str">
        <f>IFERROR(__xludf.DUMMYFUNCTION("""COMPUTED_VALUE"""),"F")</f>
        <v>F</v>
      </c>
      <c r="F97" s="53" t="str">
        <f>IFERROR(__xludf.DUMMYFUNCTION("""COMPUTED_VALUE"""),"No, not Hispanic or Latino")</f>
        <v>No, not Hispanic or Latino</v>
      </c>
      <c r="G97" s="53" t="str">
        <f>IFERROR(__xludf.DUMMYFUNCTION("""COMPUTED_VALUE"""),"White")</f>
        <v>White</v>
      </c>
      <c r="H97" s="54">
        <f>IFERROR(__xludf.DUMMYFUNCTION("""COMPUTED_VALUE"""),1073.0)</f>
        <v>1073</v>
      </c>
      <c r="I97" s="53" t="str">
        <f>IFERROR(__xludf.DUMMYFUNCTION("""COMPUTED_VALUE"""),"000329")</f>
        <v>000329</v>
      </c>
      <c r="J97" s="53" t="str">
        <f>IFERROR(__xludf.DUMMYFUNCTION("""COMPUTED_VALUE"""),"23-24")</f>
        <v>23-24</v>
      </c>
    </row>
    <row r="98">
      <c r="A98" s="53" t="str">
        <f>IFERROR(__xludf.DUMMYFUNCTION("""COMPUTED_VALUE"""),"3953756283")</f>
        <v>3953756283</v>
      </c>
      <c r="B98" s="53" t="str">
        <f>IFERROR(__xludf.DUMMYFUNCTION("""COMPUTED_VALUE"""),"Moran")</f>
        <v>Moran</v>
      </c>
      <c r="C98" s="53" t="str">
        <f>IFERROR(__xludf.DUMMYFUNCTION("""COMPUTED_VALUE"""),"Jack")</f>
        <v>Jack</v>
      </c>
      <c r="D98" s="54">
        <f>IFERROR(__xludf.DUMMYFUNCTION("""COMPUTED_VALUE"""),7.0)</f>
        <v>7</v>
      </c>
      <c r="E98" s="53" t="str">
        <f>IFERROR(__xludf.DUMMYFUNCTION("""COMPUTED_VALUE"""),"M")</f>
        <v>M</v>
      </c>
      <c r="F98" s="53" t="str">
        <f>IFERROR(__xludf.DUMMYFUNCTION("""COMPUTED_VALUE"""),"No, not Hispanic or Latino")</f>
        <v>No, not Hispanic or Latino</v>
      </c>
      <c r="G98" s="53" t="str">
        <f>IFERROR(__xludf.DUMMYFUNCTION("""COMPUTED_VALUE"""),"White")</f>
        <v>White</v>
      </c>
      <c r="H98" s="54">
        <f>IFERROR(__xludf.DUMMYFUNCTION("""COMPUTED_VALUE"""),1153.0)</f>
        <v>1153</v>
      </c>
      <c r="I98" s="53" t="str">
        <f>IFERROR(__xludf.DUMMYFUNCTION("""COMPUTED_VALUE"""),"000325")</f>
        <v>000325</v>
      </c>
      <c r="J98" s="53" t="str">
        <f>IFERROR(__xludf.DUMMYFUNCTION("""COMPUTED_VALUE"""),"23-24")</f>
        <v>23-24</v>
      </c>
    </row>
    <row r="99">
      <c r="A99" s="53" t="str">
        <f>IFERROR(__xludf.DUMMYFUNCTION("""COMPUTED_VALUE"""),"7987949335")</f>
        <v>7987949335</v>
      </c>
      <c r="B99" s="53" t="str">
        <f>IFERROR(__xludf.DUMMYFUNCTION("""COMPUTED_VALUE"""),"O'Leary")</f>
        <v>O'Leary</v>
      </c>
      <c r="C99" s="53" t="str">
        <f>IFERROR(__xludf.DUMMYFUNCTION("""COMPUTED_VALUE"""),"Ketan")</f>
        <v>Ketan</v>
      </c>
      <c r="D99" s="54">
        <f>IFERROR(__xludf.DUMMYFUNCTION("""COMPUTED_VALUE"""),7.0)</f>
        <v>7</v>
      </c>
      <c r="E99" s="53" t="str">
        <f>IFERROR(__xludf.DUMMYFUNCTION("""COMPUTED_VALUE"""),"M")</f>
        <v>M</v>
      </c>
      <c r="F99" s="53" t="str">
        <f>IFERROR(__xludf.DUMMYFUNCTION("""COMPUTED_VALUE"""),"No, not Hispanic or Latino")</f>
        <v>No, not Hispanic or Latino</v>
      </c>
      <c r="G99" s="53" t="str">
        <f>IFERROR(__xludf.DUMMYFUNCTION("""COMPUTED_VALUE"""),"White")</f>
        <v>White</v>
      </c>
      <c r="H99" s="54">
        <f>IFERROR(__xludf.DUMMYFUNCTION("""COMPUTED_VALUE"""),1154.0)</f>
        <v>1154</v>
      </c>
      <c r="I99" s="53" t="str">
        <f>IFERROR(__xludf.DUMMYFUNCTION("""COMPUTED_VALUE"""),"000325")</f>
        <v>000325</v>
      </c>
      <c r="J99" s="53" t="str">
        <f>IFERROR(__xludf.DUMMYFUNCTION("""COMPUTED_VALUE"""),"23-24")</f>
        <v>23-24</v>
      </c>
    </row>
    <row r="100">
      <c r="A100" s="53" t="str">
        <f>IFERROR(__xludf.DUMMYFUNCTION("""COMPUTED_VALUE"""),"6680106360")</f>
        <v>6680106360</v>
      </c>
      <c r="B100" s="53" t="str">
        <f>IFERROR(__xludf.DUMMYFUNCTION("""COMPUTED_VALUE"""),"Pang")</f>
        <v>Pang</v>
      </c>
      <c r="C100" s="53" t="str">
        <f>IFERROR(__xludf.DUMMYFUNCTION("""COMPUTED_VALUE"""),"Brandon")</f>
        <v>Brandon</v>
      </c>
      <c r="D100" s="54">
        <f>IFERROR(__xludf.DUMMYFUNCTION("""COMPUTED_VALUE"""),7.0)</f>
        <v>7</v>
      </c>
      <c r="E100" s="53" t="str">
        <f>IFERROR(__xludf.DUMMYFUNCTION("""COMPUTED_VALUE"""),"M")</f>
        <v>M</v>
      </c>
      <c r="F100" s="53" t="str">
        <f>IFERROR(__xludf.DUMMYFUNCTION("""COMPUTED_VALUE"""),"No, not Hispanic or Latino")</f>
        <v>No, not Hispanic or Latino</v>
      </c>
      <c r="G100" s="53" t="str">
        <f>IFERROR(__xludf.DUMMYFUNCTION("""COMPUTED_VALUE"""),"American Indian or Alaskan Native")</f>
        <v>American Indian or Alaskan Native</v>
      </c>
      <c r="H100" s="54">
        <f>IFERROR(__xludf.DUMMYFUNCTION("""COMPUTED_VALUE"""),1148.0)</f>
        <v>1148</v>
      </c>
      <c r="I100" s="53" t="str">
        <f>IFERROR(__xludf.DUMMYFUNCTION("""COMPUTED_VALUE"""),"000325")</f>
        <v>000325</v>
      </c>
      <c r="J100" s="53" t="str">
        <f>IFERROR(__xludf.DUMMYFUNCTION("""COMPUTED_VALUE"""),"23-24")</f>
        <v>23-24</v>
      </c>
    </row>
    <row r="101">
      <c r="A101" s="53" t="str">
        <f>IFERROR(__xludf.DUMMYFUNCTION("""COMPUTED_VALUE"""),"5381059026")</f>
        <v>5381059026</v>
      </c>
      <c r="B101" s="53" t="str">
        <f>IFERROR(__xludf.DUMMYFUNCTION("""COMPUTED_VALUE"""),"Paredes Olvera")</f>
        <v>Paredes Olvera</v>
      </c>
      <c r="C101" s="53" t="str">
        <f>IFERROR(__xludf.DUMMYFUNCTION("""COMPUTED_VALUE"""),"Ashley")</f>
        <v>Ashley</v>
      </c>
      <c r="D101" s="54">
        <f>IFERROR(__xludf.DUMMYFUNCTION("""COMPUTED_VALUE"""),7.0)</f>
        <v>7</v>
      </c>
      <c r="E101" s="53" t="str">
        <f>IFERROR(__xludf.DUMMYFUNCTION("""COMPUTED_VALUE"""),"F")</f>
        <v>F</v>
      </c>
      <c r="F101" s="53" t="str">
        <f>IFERROR(__xludf.DUMMYFUNCTION("""COMPUTED_VALUE"""),"Yes, Hispanic or Latino")</f>
        <v>Yes, Hispanic or Latino</v>
      </c>
      <c r="G101" s="53" t="str">
        <f>IFERROR(__xludf.DUMMYFUNCTION("""COMPUTED_VALUE"""),"No Answer Provided")</f>
        <v>No Answer Provided</v>
      </c>
      <c r="H101" s="54">
        <f>IFERROR(__xludf.DUMMYFUNCTION("""COMPUTED_VALUE"""),1073.0)</f>
        <v>1073</v>
      </c>
      <c r="I101" s="53" t="str">
        <f>IFERROR(__xludf.DUMMYFUNCTION("""COMPUTED_VALUE"""),"000329")</f>
        <v>000329</v>
      </c>
      <c r="J101" s="53" t="str">
        <f>IFERROR(__xludf.DUMMYFUNCTION("""COMPUTED_VALUE"""),"23-24")</f>
        <v>23-24</v>
      </c>
    </row>
    <row r="102">
      <c r="A102" s="53" t="str">
        <f>IFERROR(__xludf.DUMMYFUNCTION("""COMPUTED_VALUE"""),"5053421035")</f>
        <v>5053421035</v>
      </c>
      <c r="B102" s="53" t="str">
        <f>IFERROR(__xludf.DUMMYFUNCTION("""COMPUTED_VALUE"""),"Powell")</f>
        <v>Powell</v>
      </c>
      <c r="C102" s="53" t="str">
        <f>IFERROR(__xludf.DUMMYFUNCTION("""COMPUTED_VALUE"""),"Brianna")</f>
        <v>Brianna</v>
      </c>
      <c r="D102" s="54">
        <f>IFERROR(__xludf.DUMMYFUNCTION("""COMPUTED_VALUE"""),7.0)</f>
        <v>7</v>
      </c>
      <c r="E102" s="53" t="str">
        <f>IFERROR(__xludf.DUMMYFUNCTION("""COMPUTED_VALUE"""),"F")</f>
        <v>F</v>
      </c>
      <c r="F102" s="53" t="str">
        <f>IFERROR(__xludf.DUMMYFUNCTION("""COMPUTED_VALUE"""),"No, not Hispanic or Latino")</f>
        <v>No, not Hispanic or Latino</v>
      </c>
      <c r="G102" s="53" t="str">
        <f>IFERROR(__xludf.DUMMYFUNCTION("""COMPUTED_VALUE"""),"White")</f>
        <v>White</v>
      </c>
      <c r="H102" s="54">
        <f>IFERROR(__xludf.DUMMYFUNCTION("""COMPUTED_VALUE"""),1073.0)</f>
        <v>1073</v>
      </c>
      <c r="I102" s="53" t="str">
        <f>IFERROR(__xludf.DUMMYFUNCTION("""COMPUTED_VALUE"""),"000329")</f>
        <v>000329</v>
      </c>
      <c r="J102" s="53" t="str">
        <f>IFERROR(__xludf.DUMMYFUNCTION("""COMPUTED_VALUE"""),"23-24")</f>
        <v>23-24</v>
      </c>
    </row>
    <row r="103">
      <c r="A103" s="53" t="str">
        <f>IFERROR(__xludf.DUMMYFUNCTION("""COMPUTED_VALUE"""),"2211397018")</f>
        <v>2211397018</v>
      </c>
      <c r="B103" s="53" t="str">
        <f>IFERROR(__xludf.DUMMYFUNCTION("""COMPUTED_VALUE"""),"Previtali")</f>
        <v>Previtali</v>
      </c>
      <c r="C103" s="53" t="str">
        <f>IFERROR(__xludf.DUMMYFUNCTION("""COMPUTED_VALUE"""),"Jasper")</f>
        <v>Jasper</v>
      </c>
      <c r="D103" s="54">
        <f>IFERROR(__xludf.DUMMYFUNCTION("""COMPUTED_VALUE"""),7.0)</f>
        <v>7</v>
      </c>
      <c r="E103" s="53" t="str">
        <f>IFERROR(__xludf.DUMMYFUNCTION("""COMPUTED_VALUE"""),"M")</f>
        <v>M</v>
      </c>
      <c r="F103" s="53" t="str">
        <f>IFERROR(__xludf.DUMMYFUNCTION("""COMPUTED_VALUE"""),"No, not Hispanic or Latino")</f>
        <v>No, not Hispanic or Latino</v>
      </c>
      <c r="G103" s="53" t="str">
        <f>IFERROR(__xludf.DUMMYFUNCTION("""COMPUTED_VALUE"""),"White")</f>
        <v>White</v>
      </c>
      <c r="H103" s="54">
        <f>IFERROR(__xludf.DUMMYFUNCTION("""COMPUTED_VALUE"""),1152.0)</f>
        <v>1152</v>
      </c>
      <c r="I103" s="53" t="str">
        <f>IFERROR(__xludf.DUMMYFUNCTION("""COMPUTED_VALUE"""),"000325")</f>
        <v>000325</v>
      </c>
      <c r="J103" s="53" t="str">
        <f>IFERROR(__xludf.DUMMYFUNCTION("""COMPUTED_VALUE"""),"23-24")</f>
        <v>23-24</v>
      </c>
    </row>
    <row r="104">
      <c r="A104" s="53" t="str">
        <f>IFERROR(__xludf.DUMMYFUNCTION("""COMPUTED_VALUE"""),"5945751966")</f>
        <v>5945751966</v>
      </c>
      <c r="B104" s="53" t="str">
        <f>IFERROR(__xludf.DUMMYFUNCTION("""COMPUTED_VALUE"""),"Psychoyos")</f>
        <v>Psychoyos</v>
      </c>
      <c r="C104" s="53" t="str">
        <f>IFERROR(__xludf.DUMMYFUNCTION("""COMPUTED_VALUE"""),"Ana Alexa")</f>
        <v>Ana Alexa</v>
      </c>
      <c r="D104" s="54">
        <f>IFERROR(__xludf.DUMMYFUNCTION("""COMPUTED_VALUE"""),7.0)</f>
        <v>7</v>
      </c>
      <c r="E104" s="53" t="str">
        <f>IFERROR(__xludf.DUMMYFUNCTION("""COMPUTED_VALUE"""),"F")</f>
        <v>F</v>
      </c>
      <c r="F104" s="53" t="str">
        <f>IFERROR(__xludf.DUMMYFUNCTION("""COMPUTED_VALUE"""),"Yes, Hispanic or Latino")</f>
        <v>Yes, Hispanic or Latino</v>
      </c>
      <c r="G104" s="53" t="str">
        <f>IFERROR(__xludf.DUMMYFUNCTION("""COMPUTED_VALUE"""),"White")</f>
        <v>White</v>
      </c>
      <c r="H104" s="54">
        <f>IFERROR(__xludf.DUMMYFUNCTION("""COMPUTED_VALUE"""),1073.0)</f>
        <v>1073</v>
      </c>
      <c r="I104" s="53" t="str">
        <f>IFERROR(__xludf.DUMMYFUNCTION("""COMPUTED_VALUE"""),"000329")</f>
        <v>000329</v>
      </c>
      <c r="J104" s="53" t="str">
        <f>IFERROR(__xludf.DUMMYFUNCTION("""COMPUTED_VALUE"""),"23-24")</f>
        <v>23-24</v>
      </c>
    </row>
    <row r="105">
      <c r="A105" s="53" t="str">
        <f>IFERROR(__xludf.DUMMYFUNCTION("""COMPUTED_VALUE"""),"7743121356")</f>
        <v>7743121356</v>
      </c>
      <c r="B105" s="53" t="str">
        <f>IFERROR(__xludf.DUMMYFUNCTION("""COMPUTED_VALUE"""),"Sajche")</f>
        <v>Sajche</v>
      </c>
      <c r="C105" s="53" t="str">
        <f>IFERROR(__xludf.DUMMYFUNCTION("""COMPUTED_VALUE"""),"Astrid")</f>
        <v>Astrid</v>
      </c>
      <c r="D105" s="54">
        <f>IFERROR(__xludf.DUMMYFUNCTION("""COMPUTED_VALUE"""),7.0)</f>
        <v>7</v>
      </c>
      <c r="E105" s="53" t="str">
        <f>IFERROR(__xludf.DUMMYFUNCTION("""COMPUTED_VALUE"""),"F")</f>
        <v>F</v>
      </c>
      <c r="F105" s="53" t="str">
        <f>IFERROR(__xludf.DUMMYFUNCTION("""COMPUTED_VALUE"""),"Yes, Hispanic or Latino")</f>
        <v>Yes, Hispanic or Latino</v>
      </c>
      <c r="G105" s="53" t="str">
        <f>IFERROR(__xludf.DUMMYFUNCTION("""COMPUTED_VALUE"""),"White")</f>
        <v>White</v>
      </c>
      <c r="H105" s="54">
        <f>IFERROR(__xludf.DUMMYFUNCTION("""COMPUTED_VALUE"""),1073.0)</f>
        <v>1073</v>
      </c>
      <c r="I105" s="53" t="str">
        <f>IFERROR(__xludf.DUMMYFUNCTION("""COMPUTED_VALUE"""),"000329")</f>
        <v>000329</v>
      </c>
      <c r="J105" s="53" t="str">
        <f>IFERROR(__xludf.DUMMYFUNCTION("""COMPUTED_VALUE"""),"23-24")</f>
        <v>23-24</v>
      </c>
    </row>
    <row r="106">
      <c r="A106" s="53" t="str">
        <f>IFERROR(__xludf.DUMMYFUNCTION("""COMPUTED_VALUE"""),"5212323753")</f>
        <v>5212323753</v>
      </c>
      <c r="B106" s="53" t="str">
        <f>IFERROR(__xludf.DUMMYFUNCTION("""COMPUTED_VALUE"""),"Schaefer")</f>
        <v>Schaefer</v>
      </c>
      <c r="C106" s="53" t="str">
        <f>IFERROR(__xludf.DUMMYFUNCTION("""COMPUTED_VALUE"""),"Matthew")</f>
        <v>Matthew</v>
      </c>
      <c r="D106" s="54">
        <f>IFERROR(__xludf.DUMMYFUNCTION("""COMPUTED_VALUE"""),7.0)</f>
        <v>7</v>
      </c>
      <c r="E106" s="53" t="str">
        <f>IFERROR(__xludf.DUMMYFUNCTION("""COMPUTED_VALUE"""),"M")</f>
        <v>M</v>
      </c>
      <c r="F106" s="53" t="str">
        <f>IFERROR(__xludf.DUMMYFUNCTION("""COMPUTED_VALUE"""),"No, not Hispanic or Latino")</f>
        <v>No, not Hispanic or Latino</v>
      </c>
      <c r="G106" s="53" t="str">
        <f>IFERROR(__xludf.DUMMYFUNCTION("""COMPUTED_VALUE"""),"White")</f>
        <v>White</v>
      </c>
      <c r="H106" s="54">
        <f>IFERROR(__xludf.DUMMYFUNCTION("""COMPUTED_VALUE"""),1148.0)</f>
        <v>1148</v>
      </c>
      <c r="I106" s="53" t="str">
        <f>IFERROR(__xludf.DUMMYFUNCTION("""COMPUTED_VALUE"""),"000325")</f>
        <v>000325</v>
      </c>
      <c r="J106" s="53" t="str">
        <f>IFERROR(__xludf.DUMMYFUNCTION("""COMPUTED_VALUE"""),"23-24")</f>
        <v>23-24</v>
      </c>
    </row>
    <row r="107">
      <c r="A107" s="53" t="str">
        <f>IFERROR(__xludf.DUMMYFUNCTION("""COMPUTED_VALUE"""),"8910662905")</f>
        <v>8910662905</v>
      </c>
      <c r="B107" s="53" t="str">
        <f>IFERROR(__xludf.DUMMYFUNCTION("""COMPUTED_VALUE"""),"Sepan")</f>
        <v>Sepan</v>
      </c>
      <c r="C107" s="53" t="str">
        <f>IFERROR(__xludf.DUMMYFUNCTION("""COMPUTED_VALUE"""),"Shushanik")</f>
        <v>Shushanik</v>
      </c>
      <c r="D107" s="54">
        <f>IFERROR(__xludf.DUMMYFUNCTION("""COMPUTED_VALUE"""),7.0)</f>
        <v>7</v>
      </c>
      <c r="E107" s="53" t="str">
        <f>IFERROR(__xludf.DUMMYFUNCTION("""COMPUTED_VALUE"""),"F")</f>
        <v>F</v>
      </c>
      <c r="F107" s="53" t="str">
        <f>IFERROR(__xludf.DUMMYFUNCTION("""COMPUTED_VALUE"""),"No, not Hispanic or Latino")</f>
        <v>No, not Hispanic or Latino</v>
      </c>
      <c r="G107" s="53" t="str">
        <f>IFERROR(__xludf.DUMMYFUNCTION("""COMPUTED_VALUE"""),"White")</f>
        <v>White</v>
      </c>
      <c r="H107" s="54">
        <f>IFERROR(__xludf.DUMMYFUNCTION("""COMPUTED_VALUE"""),1073.0)</f>
        <v>1073</v>
      </c>
      <c r="I107" s="53" t="str">
        <f>IFERROR(__xludf.DUMMYFUNCTION("""COMPUTED_VALUE"""),"000329")</f>
        <v>000329</v>
      </c>
      <c r="J107" s="53" t="str">
        <f>IFERROR(__xludf.DUMMYFUNCTION("""COMPUTED_VALUE"""),"23-24")</f>
        <v>23-24</v>
      </c>
    </row>
    <row r="108">
      <c r="A108" s="53" t="str">
        <f>IFERROR(__xludf.DUMMYFUNCTION("""COMPUTED_VALUE"""),"7325567234")</f>
        <v>7325567234</v>
      </c>
      <c r="B108" s="53" t="str">
        <f>IFERROR(__xludf.DUMMYFUNCTION("""COMPUTED_VALUE"""),"Shea")</f>
        <v>Shea</v>
      </c>
      <c r="C108" s="53" t="str">
        <f>IFERROR(__xludf.DUMMYFUNCTION("""COMPUTED_VALUE"""),"Tristan")</f>
        <v>Tristan</v>
      </c>
      <c r="D108" s="54">
        <f>IFERROR(__xludf.DUMMYFUNCTION("""COMPUTED_VALUE"""),7.0)</f>
        <v>7</v>
      </c>
      <c r="E108" s="53" t="str">
        <f>IFERROR(__xludf.DUMMYFUNCTION("""COMPUTED_VALUE"""),"M")</f>
        <v>M</v>
      </c>
      <c r="F108" s="53" t="str">
        <f>IFERROR(__xludf.DUMMYFUNCTION("""COMPUTED_VALUE"""),"No, not Hispanic or Latino")</f>
        <v>No, not Hispanic or Latino</v>
      </c>
      <c r="G108" s="53" t="str">
        <f>IFERROR(__xludf.DUMMYFUNCTION("""COMPUTED_VALUE"""),"White")</f>
        <v>White</v>
      </c>
      <c r="H108" s="54">
        <f>IFERROR(__xludf.DUMMYFUNCTION("""COMPUTED_VALUE"""),1150.0)</f>
        <v>1150</v>
      </c>
      <c r="I108" s="53" t="str">
        <f>IFERROR(__xludf.DUMMYFUNCTION("""COMPUTED_VALUE"""),"000325")</f>
        <v>000325</v>
      </c>
      <c r="J108" s="53" t="str">
        <f>IFERROR(__xludf.DUMMYFUNCTION("""COMPUTED_VALUE"""),"23-24")</f>
        <v>23-24</v>
      </c>
    </row>
    <row r="109">
      <c r="A109" s="53" t="str">
        <f>IFERROR(__xludf.DUMMYFUNCTION("""COMPUTED_VALUE"""),"6956473559")</f>
        <v>6956473559</v>
      </c>
      <c r="B109" s="53" t="str">
        <f>IFERROR(__xludf.DUMMYFUNCTION("""COMPUTED_VALUE"""),"Shumaker")</f>
        <v>Shumaker</v>
      </c>
      <c r="C109" s="53" t="str">
        <f>IFERROR(__xludf.DUMMYFUNCTION("""COMPUTED_VALUE"""),"Andrew")</f>
        <v>Andrew</v>
      </c>
      <c r="D109" s="54">
        <f>IFERROR(__xludf.DUMMYFUNCTION("""COMPUTED_VALUE"""),7.0)</f>
        <v>7</v>
      </c>
      <c r="E109" s="53" t="str">
        <f>IFERROR(__xludf.DUMMYFUNCTION("""COMPUTED_VALUE"""),"M")</f>
        <v>M</v>
      </c>
      <c r="F109" s="53" t="str">
        <f>IFERROR(__xludf.DUMMYFUNCTION("""COMPUTED_VALUE"""),"No, not Hispanic or Latino")</f>
        <v>No, not Hispanic or Latino</v>
      </c>
      <c r="G109" s="53" t="str">
        <f>IFERROR(__xludf.DUMMYFUNCTION("""COMPUTED_VALUE"""),"White")</f>
        <v>White</v>
      </c>
      <c r="H109" s="54">
        <f>IFERROR(__xludf.DUMMYFUNCTION("""COMPUTED_VALUE"""),1151.0)</f>
        <v>1151</v>
      </c>
      <c r="I109" s="53" t="str">
        <f>IFERROR(__xludf.DUMMYFUNCTION("""COMPUTED_VALUE"""),"000325")</f>
        <v>000325</v>
      </c>
      <c r="J109" s="53" t="str">
        <f>IFERROR(__xludf.DUMMYFUNCTION("""COMPUTED_VALUE"""),"23-24")</f>
        <v>23-24</v>
      </c>
    </row>
    <row r="110">
      <c r="A110" s="53" t="str">
        <f>IFERROR(__xludf.DUMMYFUNCTION("""COMPUTED_VALUE"""),"1649740342")</f>
        <v>1649740342</v>
      </c>
      <c r="B110" s="53" t="str">
        <f>IFERROR(__xludf.DUMMYFUNCTION("""COMPUTED_VALUE"""),"Sjahsam")</f>
        <v>Sjahsam</v>
      </c>
      <c r="C110" s="53" t="str">
        <f>IFERROR(__xludf.DUMMYFUNCTION("""COMPUTED_VALUE"""),"Emery")</f>
        <v>Emery</v>
      </c>
      <c r="D110" s="54">
        <f>IFERROR(__xludf.DUMMYFUNCTION("""COMPUTED_VALUE"""),7.0)</f>
        <v>7</v>
      </c>
      <c r="E110" s="53" t="str">
        <f>IFERROR(__xludf.DUMMYFUNCTION("""COMPUTED_VALUE"""),"F")</f>
        <v>F</v>
      </c>
      <c r="F110" s="53" t="str">
        <f>IFERROR(__xludf.DUMMYFUNCTION("""COMPUTED_VALUE"""),"No, not Hispanic or Latino")</f>
        <v>No, not Hispanic or Latino</v>
      </c>
      <c r="G110" s="53" t="str">
        <f>IFERROR(__xludf.DUMMYFUNCTION("""COMPUTED_VALUE"""),"White")</f>
        <v>White</v>
      </c>
      <c r="H110" s="54">
        <f>IFERROR(__xludf.DUMMYFUNCTION("""COMPUTED_VALUE"""),1152.0)</f>
        <v>1152</v>
      </c>
      <c r="I110" s="53" t="str">
        <f>IFERROR(__xludf.DUMMYFUNCTION("""COMPUTED_VALUE"""),"000325")</f>
        <v>000325</v>
      </c>
      <c r="J110" s="53" t="str">
        <f>IFERROR(__xludf.DUMMYFUNCTION("""COMPUTED_VALUE"""),"23-24")</f>
        <v>23-24</v>
      </c>
    </row>
    <row r="111">
      <c r="A111" s="53" t="str">
        <f>IFERROR(__xludf.DUMMYFUNCTION("""COMPUTED_VALUE"""),"2272691597")</f>
        <v>2272691597</v>
      </c>
      <c r="B111" s="53" t="str">
        <f>IFERROR(__xludf.DUMMYFUNCTION("""COMPUTED_VALUE"""),"Snekkevik")</f>
        <v>Snekkevik</v>
      </c>
      <c r="C111" s="53" t="str">
        <f>IFERROR(__xludf.DUMMYFUNCTION("""COMPUTED_VALUE"""),"Eric")</f>
        <v>Eric</v>
      </c>
      <c r="D111" s="54">
        <f>IFERROR(__xludf.DUMMYFUNCTION("""COMPUTED_VALUE"""),7.0)</f>
        <v>7</v>
      </c>
      <c r="E111" s="53" t="str">
        <f>IFERROR(__xludf.DUMMYFUNCTION("""COMPUTED_VALUE"""),"M")</f>
        <v>M</v>
      </c>
      <c r="F111" s="53" t="str">
        <f>IFERROR(__xludf.DUMMYFUNCTION("""COMPUTED_VALUE"""),"No, not Hispanic or Latino")</f>
        <v>No, not Hispanic or Latino</v>
      </c>
      <c r="G111" s="53" t="str">
        <f>IFERROR(__xludf.DUMMYFUNCTION("""COMPUTED_VALUE"""),"White")</f>
        <v>White</v>
      </c>
      <c r="H111" s="54">
        <f>IFERROR(__xludf.DUMMYFUNCTION("""COMPUTED_VALUE"""),1073.0)</f>
        <v>1073</v>
      </c>
      <c r="I111" s="53" t="str">
        <f>IFERROR(__xludf.DUMMYFUNCTION("""COMPUTED_VALUE"""),"000329")</f>
        <v>000329</v>
      </c>
      <c r="J111" s="53" t="str">
        <f>IFERROR(__xludf.DUMMYFUNCTION("""COMPUTED_VALUE"""),"23-24")</f>
        <v>23-24</v>
      </c>
    </row>
    <row r="112">
      <c r="A112" s="53" t="str">
        <f>IFERROR(__xludf.DUMMYFUNCTION("""COMPUTED_VALUE"""),"6965508161")</f>
        <v>6965508161</v>
      </c>
      <c r="B112" s="53" t="str">
        <f>IFERROR(__xludf.DUMMYFUNCTION("""COMPUTED_VALUE"""),"Snekkevik")</f>
        <v>Snekkevik</v>
      </c>
      <c r="C112" s="53" t="str">
        <f>IFERROR(__xludf.DUMMYFUNCTION("""COMPUTED_VALUE"""),"Jakob")</f>
        <v>Jakob</v>
      </c>
      <c r="D112" s="54">
        <f>IFERROR(__xludf.DUMMYFUNCTION("""COMPUTED_VALUE"""),7.0)</f>
        <v>7</v>
      </c>
      <c r="E112" s="53" t="str">
        <f>IFERROR(__xludf.DUMMYFUNCTION("""COMPUTED_VALUE"""),"M")</f>
        <v>M</v>
      </c>
      <c r="F112" s="53" t="str">
        <f>IFERROR(__xludf.DUMMYFUNCTION("""COMPUTED_VALUE"""),"No, not Hispanic or Latino")</f>
        <v>No, not Hispanic or Latino</v>
      </c>
      <c r="G112" s="53" t="str">
        <f>IFERROR(__xludf.DUMMYFUNCTION("""COMPUTED_VALUE"""),"White")</f>
        <v>White</v>
      </c>
      <c r="H112" s="54">
        <f>IFERROR(__xludf.DUMMYFUNCTION("""COMPUTED_VALUE"""),1073.0)</f>
        <v>1073</v>
      </c>
      <c r="I112" s="53" t="str">
        <f>IFERROR(__xludf.DUMMYFUNCTION("""COMPUTED_VALUE"""),"000329")</f>
        <v>000329</v>
      </c>
      <c r="J112" s="53" t="str">
        <f>IFERROR(__xludf.DUMMYFUNCTION("""COMPUTED_VALUE"""),"23-24")</f>
        <v>23-24</v>
      </c>
    </row>
    <row r="113">
      <c r="A113" s="53" t="str">
        <f>IFERROR(__xludf.DUMMYFUNCTION("""COMPUTED_VALUE"""),"5374646087")</f>
        <v>5374646087</v>
      </c>
      <c r="B113" s="53" t="str">
        <f>IFERROR(__xludf.DUMMYFUNCTION("""COMPUTED_VALUE"""),"Southwick")</f>
        <v>Southwick</v>
      </c>
      <c r="C113" s="53" t="str">
        <f>IFERROR(__xludf.DUMMYFUNCTION("""COMPUTED_VALUE"""),"Sasha")</f>
        <v>Sasha</v>
      </c>
      <c r="D113" s="54">
        <f>IFERROR(__xludf.DUMMYFUNCTION("""COMPUTED_VALUE"""),7.0)</f>
        <v>7</v>
      </c>
      <c r="E113" s="53" t="str">
        <f>IFERROR(__xludf.DUMMYFUNCTION("""COMPUTED_VALUE"""),"F")</f>
        <v>F</v>
      </c>
      <c r="F113" s="53" t="str">
        <f>IFERROR(__xludf.DUMMYFUNCTION("""COMPUTED_VALUE"""),"No, not Hispanic or Latino")</f>
        <v>No, not Hispanic or Latino</v>
      </c>
      <c r="G113" s="53" t="str">
        <f>IFERROR(__xludf.DUMMYFUNCTION("""COMPUTED_VALUE"""),"White")</f>
        <v>White</v>
      </c>
      <c r="H113" s="54">
        <f>IFERROR(__xludf.DUMMYFUNCTION("""COMPUTED_VALUE"""),1151.0)</f>
        <v>1151</v>
      </c>
      <c r="I113" s="53" t="str">
        <f>IFERROR(__xludf.DUMMYFUNCTION("""COMPUTED_VALUE"""),"000325")</f>
        <v>000325</v>
      </c>
      <c r="J113" s="53" t="str">
        <f>IFERROR(__xludf.DUMMYFUNCTION("""COMPUTED_VALUE"""),"23-24")</f>
        <v>23-24</v>
      </c>
    </row>
    <row r="114">
      <c r="A114" s="53" t="str">
        <f>IFERROR(__xludf.DUMMYFUNCTION("""COMPUTED_VALUE"""),"7367834845")</f>
        <v>7367834845</v>
      </c>
      <c r="B114" s="53" t="str">
        <f>IFERROR(__xludf.DUMMYFUNCTION("""COMPUTED_VALUE"""),"Stewart")</f>
        <v>Stewart</v>
      </c>
      <c r="C114" s="53" t="str">
        <f>IFERROR(__xludf.DUMMYFUNCTION("""COMPUTED_VALUE"""),"Piper")</f>
        <v>Piper</v>
      </c>
      <c r="D114" s="54">
        <f>IFERROR(__xludf.DUMMYFUNCTION("""COMPUTED_VALUE"""),7.0)</f>
        <v>7</v>
      </c>
      <c r="E114" s="53" t="str">
        <f>IFERROR(__xludf.DUMMYFUNCTION("""COMPUTED_VALUE"""),"F")</f>
        <v>F</v>
      </c>
      <c r="F114" s="53" t="str">
        <f>IFERROR(__xludf.DUMMYFUNCTION("""COMPUTED_VALUE"""),"No, not Hispanic or Latino")</f>
        <v>No, not Hispanic or Latino</v>
      </c>
      <c r="G114" s="53" t="str">
        <f>IFERROR(__xludf.DUMMYFUNCTION("""COMPUTED_VALUE"""),"White")</f>
        <v>White</v>
      </c>
      <c r="H114" s="54">
        <f>IFERROR(__xludf.DUMMYFUNCTION("""COMPUTED_VALUE"""),1073.0)</f>
        <v>1073</v>
      </c>
      <c r="I114" s="53" t="str">
        <f>IFERROR(__xludf.DUMMYFUNCTION("""COMPUTED_VALUE"""),"000329")</f>
        <v>000329</v>
      </c>
      <c r="J114" s="53" t="str">
        <f>IFERROR(__xludf.DUMMYFUNCTION("""COMPUTED_VALUE"""),"23-24")</f>
        <v>23-24</v>
      </c>
    </row>
    <row r="115">
      <c r="A115" s="53" t="str">
        <f>IFERROR(__xludf.DUMMYFUNCTION("""COMPUTED_VALUE"""),"3925237195")</f>
        <v>3925237195</v>
      </c>
      <c r="B115" s="53" t="str">
        <f>IFERROR(__xludf.DUMMYFUNCTION("""COMPUTED_VALUE"""),"Troy")</f>
        <v>Troy</v>
      </c>
      <c r="C115" s="53" t="str">
        <f>IFERROR(__xludf.DUMMYFUNCTION("""COMPUTED_VALUE"""),"Madison")</f>
        <v>Madison</v>
      </c>
      <c r="D115" s="54">
        <f>IFERROR(__xludf.DUMMYFUNCTION("""COMPUTED_VALUE"""),7.0)</f>
        <v>7</v>
      </c>
      <c r="E115" s="53" t="str">
        <f>IFERROR(__xludf.DUMMYFUNCTION("""COMPUTED_VALUE"""),"F")</f>
        <v>F</v>
      </c>
      <c r="F115" s="53" t="str">
        <f>IFERROR(__xludf.DUMMYFUNCTION("""COMPUTED_VALUE"""),"No, not Hispanic or Latino")</f>
        <v>No, not Hispanic or Latino</v>
      </c>
      <c r="G115" s="53" t="str">
        <f>IFERROR(__xludf.DUMMYFUNCTION("""COMPUTED_VALUE"""),"White")</f>
        <v>White</v>
      </c>
      <c r="H115" s="54">
        <f>IFERROR(__xludf.DUMMYFUNCTION("""COMPUTED_VALUE"""),1073.0)</f>
        <v>1073</v>
      </c>
      <c r="I115" s="53" t="str">
        <f>IFERROR(__xludf.DUMMYFUNCTION("""COMPUTED_VALUE"""),"000329")</f>
        <v>000329</v>
      </c>
      <c r="J115" s="53" t="str">
        <f>IFERROR(__xludf.DUMMYFUNCTION("""COMPUTED_VALUE"""),"23-24")</f>
        <v>23-24</v>
      </c>
    </row>
    <row r="116">
      <c r="A116" s="53" t="str">
        <f>IFERROR(__xludf.DUMMYFUNCTION("""COMPUTED_VALUE"""),"7639940226")</f>
        <v>7639940226</v>
      </c>
      <c r="B116" s="53" t="str">
        <f>IFERROR(__xludf.DUMMYFUNCTION("""COMPUTED_VALUE"""),"Vergara")</f>
        <v>Vergara</v>
      </c>
      <c r="C116" s="53" t="str">
        <f>IFERROR(__xludf.DUMMYFUNCTION("""COMPUTED_VALUE"""),"Eddie")</f>
        <v>Eddie</v>
      </c>
      <c r="D116" s="54">
        <f>IFERROR(__xludf.DUMMYFUNCTION("""COMPUTED_VALUE"""),7.0)</f>
        <v>7</v>
      </c>
      <c r="E116" s="53" t="str">
        <f>IFERROR(__xludf.DUMMYFUNCTION("""COMPUTED_VALUE"""),"M")</f>
        <v>M</v>
      </c>
      <c r="F116" s="53" t="str">
        <f>IFERROR(__xludf.DUMMYFUNCTION("""COMPUTED_VALUE"""),"Yes, Hispanic or Latino")</f>
        <v>Yes, Hispanic or Latino</v>
      </c>
      <c r="G116" s="53" t="str">
        <f>IFERROR(__xludf.DUMMYFUNCTION("""COMPUTED_VALUE"""),"White")</f>
        <v>White</v>
      </c>
      <c r="H116" s="54">
        <f>IFERROR(__xludf.DUMMYFUNCTION("""COMPUTED_VALUE"""),1151.0)</f>
        <v>1151</v>
      </c>
      <c r="I116" s="53" t="str">
        <f>IFERROR(__xludf.DUMMYFUNCTION("""COMPUTED_VALUE"""),"000325")</f>
        <v>000325</v>
      </c>
      <c r="J116" s="53" t="str">
        <f>IFERROR(__xludf.DUMMYFUNCTION("""COMPUTED_VALUE"""),"23-24")</f>
        <v>23-24</v>
      </c>
    </row>
    <row r="117">
      <c r="A117" s="53" t="str">
        <f>IFERROR(__xludf.DUMMYFUNCTION("""COMPUTED_VALUE"""),"1251066431")</f>
        <v>1251066431</v>
      </c>
      <c r="B117" s="53" t="str">
        <f>IFERROR(__xludf.DUMMYFUNCTION("""COMPUTED_VALUE"""),"Wenzel")</f>
        <v>Wenzel</v>
      </c>
      <c r="C117" s="53" t="str">
        <f>IFERROR(__xludf.DUMMYFUNCTION("""COMPUTED_VALUE"""),"Owen")</f>
        <v>Owen</v>
      </c>
      <c r="D117" s="54">
        <f>IFERROR(__xludf.DUMMYFUNCTION("""COMPUTED_VALUE"""),7.0)</f>
        <v>7</v>
      </c>
      <c r="E117" s="53" t="str">
        <f>IFERROR(__xludf.DUMMYFUNCTION("""COMPUTED_VALUE"""),"M")</f>
        <v>M</v>
      </c>
      <c r="F117" s="53" t="str">
        <f>IFERROR(__xludf.DUMMYFUNCTION("""COMPUTED_VALUE"""),"No, not Hispanic or Latino")</f>
        <v>No, not Hispanic or Latino</v>
      </c>
      <c r="G117" s="53" t="str">
        <f>IFERROR(__xludf.DUMMYFUNCTION("""COMPUTED_VALUE"""),"White")</f>
        <v>White</v>
      </c>
      <c r="H117" s="54">
        <f>IFERROR(__xludf.DUMMYFUNCTION("""COMPUTED_VALUE"""),1073.0)</f>
        <v>1073</v>
      </c>
      <c r="I117" s="53" t="str">
        <f>IFERROR(__xludf.DUMMYFUNCTION("""COMPUTED_VALUE"""),"000329")</f>
        <v>000329</v>
      </c>
      <c r="J117" s="53" t="str">
        <f>IFERROR(__xludf.DUMMYFUNCTION("""COMPUTED_VALUE"""),"23-24")</f>
        <v>23-24</v>
      </c>
    </row>
    <row r="118">
      <c r="A118" s="53" t="str">
        <f>IFERROR(__xludf.DUMMYFUNCTION("""COMPUTED_VALUE"""),"4029694582")</f>
        <v>4029694582</v>
      </c>
      <c r="B118" s="53" t="str">
        <f>IFERROR(__xludf.DUMMYFUNCTION("""COMPUTED_VALUE"""),"Williams")</f>
        <v>Williams</v>
      </c>
      <c r="C118" s="53" t="str">
        <f>IFERROR(__xludf.DUMMYFUNCTION("""COMPUTED_VALUE"""),"Taylor")</f>
        <v>Taylor</v>
      </c>
      <c r="D118" s="54">
        <f>IFERROR(__xludf.DUMMYFUNCTION("""COMPUTED_VALUE"""),7.0)</f>
        <v>7</v>
      </c>
      <c r="E118" s="53" t="str">
        <f>IFERROR(__xludf.DUMMYFUNCTION("""COMPUTED_VALUE"""),"F")</f>
        <v>F</v>
      </c>
      <c r="F118" s="53" t="str">
        <f>IFERROR(__xludf.DUMMYFUNCTION("""COMPUTED_VALUE"""),"No, not Hispanic or Latino")</f>
        <v>No, not Hispanic or Latino</v>
      </c>
      <c r="G118" s="53" t="str">
        <f>IFERROR(__xludf.DUMMYFUNCTION("""COMPUTED_VALUE"""),"White")</f>
        <v>White</v>
      </c>
      <c r="H118" s="54">
        <f>IFERROR(__xludf.DUMMYFUNCTION("""COMPUTED_VALUE"""),1073.0)</f>
        <v>1073</v>
      </c>
      <c r="I118" s="53" t="str">
        <f>IFERROR(__xludf.DUMMYFUNCTION("""COMPUTED_VALUE"""),"000329")</f>
        <v>000329</v>
      </c>
      <c r="J118" s="53" t="str">
        <f>IFERROR(__xludf.DUMMYFUNCTION("""COMPUTED_VALUE"""),"23-24")</f>
        <v>23-24</v>
      </c>
    </row>
    <row r="119">
      <c r="A119" s="53" t="str">
        <f>IFERROR(__xludf.DUMMYFUNCTION("""COMPUTED_VALUE"""),"2917726424")</f>
        <v>2917726424</v>
      </c>
      <c r="B119" s="53" t="str">
        <f>IFERROR(__xludf.DUMMYFUNCTION("""COMPUTED_VALUE"""),"Zea")</f>
        <v>Zea</v>
      </c>
      <c r="C119" s="53" t="str">
        <f>IFERROR(__xludf.DUMMYFUNCTION("""COMPUTED_VALUE"""),"Bode")</f>
        <v>Bode</v>
      </c>
      <c r="D119" s="54">
        <f>IFERROR(__xludf.DUMMYFUNCTION("""COMPUTED_VALUE"""),7.0)</f>
        <v>7</v>
      </c>
      <c r="E119" s="53" t="str">
        <f>IFERROR(__xludf.DUMMYFUNCTION("""COMPUTED_VALUE"""),"M")</f>
        <v>M</v>
      </c>
      <c r="F119" s="53" t="str">
        <f>IFERROR(__xludf.DUMMYFUNCTION("""COMPUTED_VALUE"""),"Yes, Hispanic or Latino")</f>
        <v>Yes, Hispanic or Latino</v>
      </c>
      <c r="G119" s="53" t="str">
        <f>IFERROR(__xludf.DUMMYFUNCTION("""COMPUTED_VALUE"""),"White")</f>
        <v>White</v>
      </c>
      <c r="H119" s="54">
        <f>IFERROR(__xludf.DUMMYFUNCTION("""COMPUTED_VALUE"""),1154.0)</f>
        <v>1154</v>
      </c>
      <c r="I119" s="53" t="str">
        <f>IFERROR(__xludf.DUMMYFUNCTION("""COMPUTED_VALUE"""),"000325")</f>
        <v>000325</v>
      </c>
      <c r="J119" s="53" t="str">
        <f>IFERROR(__xludf.DUMMYFUNCTION("""COMPUTED_VALUE"""),"23-24")</f>
        <v>23-24</v>
      </c>
    </row>
    <row r="120">
      <c r="A120" s="53" t="str">
        <f>IFERROR(__xludf.DUMMYFUNCTION("""COMPUTED_VALUE"""),"3437045076")</f>
        <v>3437045076</v>
      </c>
      <c r="B120" s="53" t="str">
        <f>IFERROR(__xludf.DUMMYFUNCTION("""COMPUTED_VALUE"""),"Alarcon")</f>
        <v>Alarcon</v>
      </c>
      <c r="C120" s="53" t="str">
        <f>IFERROR(__xludf.DUMMYFUNCTION("""COMPUTED_VALUE"""),"Hayden")</f>
        <v>Hayden</v>
      </c>
      <c r="D120" s="54">
        <f>IFERROR(__xludf.DUMMYFUNCTION("""COMPUTED_VALUE"""),7.0)</f>
        <v>7</v>
      </c>
      <c r="E120" s="53" t="str">
        <f>IFERROR(__xludf.DUMMYFUNCTION("""COMPUTED_VALUE"""),"M")</f>
        <v>M</v>
      </c>
      <c r="F120" s="53" t="str">
        <f>IFERROR(__xludf.DUMMYFUNCTION("""COMPUTED_VALUE"""),"Yes, Hispanic or Latino")</f>
        <v>Yes, Hispanic or Latino</v>
      </c>
      <c r="G120" s="53" t="str">
        <f>IFERROR(__xludf.DUMMYFUNCTION("""COMPUTED_VALUE"""),"White")</f>
        <v>White</v>
      </c>
      <c r="H120" s="54">
        <f>IFERROR(__xludf.DUMMYFUNCTION("""COMPUTED_VALUE"""),1144.0)</f>
        <v>1144</v>
      </c>
      <c r="I120" s="53" t="str">
        <f>IFERROR(__xludf.DUMMYFUNCTION("""COMPUTED_VALUE"""),"000325")</f>
        <v>000325</v>
      </c>
      <c r="J120" s="53" t="str">
        <f>IFERROR(__xludf.DUMMYFUNCTION("""COMPUTED_VALUE"""),"24-25")</f>
        <v>24-25</v>
      </c>
    </row>
    <row r="121">
      <c r="A121" s="53" t="str">
        <f>IFERROR(__xludf.DUMMYFUNCTION("""COMPUTED_VALUE"""),"2538995308")</f>
        <v>2538995308</v>
      </c>
      <c r="B121" s="53" t="str">
        <f>IFERROR(__xludf.DUMMYFUNCTION("""COMPUTED_VALUE"""),"Aronson")</f>
        <v>Aronson</v>
      </c>
      <c r="C121" s="53" t="str">
        <f>IFERROR(__xludf.DUMMYFUNCTION("""COMPUTED_VALUE"""),"Evan")</f>
        <v>Evan</v>
      </c>
      <c r="D121" s="54">
        <f>IFERROR(__xludf.DUMMYFUNCTION("""COMPUTED_VALUE"""),7.0)</f>
        <v>7</v>
      </c>
      <c r="E121" s="53" t="str">
        <f>IFERROR(__xludf.DUMMYFUNCTION("""COMPUTED_VALUE"""),"M")</f>
        <v>M</v>
      </c>
      <c r="F121" s="53" t="str">
        <f>IFERROR(__xludf.DUMMYFUNCTION("""COMPUTED_VALUE"""),"No, not Hispanic or Latino")</f>
        <v>No, not Hispanic or Latino</v>
      </c>
      <c r="G121" s="53" t="str">
        <f>IFERROR(__xludf.DUMMYFUNCTION("""COMPUTED_VALUE"""),"White")</f>
        <v>White</v>
      </c>
      <c r="H121" s="54">
        <f>IFERROR(__xludf.DUMMYFUNCTION("""COMPUTED_VALUE"""),1016.0)</f>
        <v>1016</v>
      </c>
      <c r="I121" s="53" t="str">
        <f>IFERROR(__xludf.DUMMYFUNCTION("""COMPUTED_VALUE"""),"000329")</f>
        <v>000329</v>
      </c>
      <c r="J121" s="53" t="str">
        <f>IFERROR(__xludf.DUMMYFUNCTION("""COMPUTED_VALUE"""),"24-25")</f>
        <v>24-25</v>
      </c>
    </row>
    <row r="122">
      <c r="A122" s="53" t="str">
        <f>IFERROR(__xludf.DUMMYFUNCTION("""COMPUTED_VALUE"""),"2720574865")</f>
        <v>2720574865</v>
      </c>
      <c r="B122" s="53" t="str">
        <f>IFERROR(__xludf.DUMMYFUNCTION("""COMPUTED_VALUE"""),"Baker")</f>
        <v>Baker</v>
      </c>
      <c r="C122" s="53" t="str">
        <f>IFERROR(__xludf.DUMMYFUNCTION("""COMPUTED_VALUE"""),"Sean")</f>
        <v>Sean</v>
      </c>
      <c r="D122" s="54">
        <f>IFERROR(__xludf.DUMMYFUNCTION("""COMPUTED_VALUE"""),7.0)</f>
        <v>7</v>
      </c>
      <c r="E122" s="53" t="str">
        <f>IFERROR(__xludf.DUMMYFUNCTION("""COMPUTED_VALUE"""),"M")</f>
        <v>M</v>
      </c>
      <c r="F122" s="53" t="str">
        <f>IFERROR(__xludf.DUMMYFUNCTION("""COMPUTED_VALUE"""),"No, not Hispanic or Latino")</f>
        <v>No, not Hispanic or Latino</v>
      </c>
      <c r="G122" s="53" t="str">
        <f>IFERROR(__xludf.DUMMYFUNCTION("""COMPUTED_VALUE"""),"White")</f>
        <v>White</v>
      </c>
      <c r="H122" s="54">
        <f>IFERROR(__xludf.DUMMYFUNCTION("""COMPUTED_VALUE"""),1144.0)</f>
        <v>1144</v>
      </c>
      <c r="I122" s="53" t="str">
        <f>IFERROR(__xludf.DUMMYFUNCTION("""COMPUTED_VALUE"""),"000325")</f>
        <v>000325</v>
      </c>
      <c r="J122" s="53" t="str">
        <f>IFERROR(__xludf.DUMMYFUNCTION("""COMPUTED_VALUE"""),"24-25")</f>
        <v>24-25</v>
      </c>
    </row>
    <row r="123">
      <c r="A123" s="53" t="str">
        <f>IFERROR(__xludf.DUMMYFUNCTION("""COMPUTED_VALUE"""),"7455499795")</f>
        <v>7455499795</v>
      </c>
      <c r="B123" s="53" t="str">
        <f>IFERROR(__xludf.DUMMYFUNCTION("""COMPUTED_VALUE"""),"Barnes")</f>
        <v>Barnes</v>
      </c>
      <c r="C123" s="53" t="str">
        <f>IFERROR(__xludf.DUMMYFUNCTION("""COMPUTED_VALUE"""),"Andrew")</f>
        <v>Andrew</v>
      </c>
      <c r="D123" s="54">
        <f>IFERROR(__xludf.DUMMYFUNCTION("""COMPUTED_VALUE"""),7.0)</f>
        <v>7</v>
      </c>
      <c r="E123" s="53" t="str">
        <f>IFERROR(__xludf.DUMMYFUNCTION("""COMPUTED_VALUE"""),"M")</f>
        <v>M</v>
      </c>
      <c r="F123" s="53" t="str">
        <f>IFERROR(__xludf.DUMMYFUNCTION("""COMPUTED_VALUE"""),"No, not Hispanic or Latino")</f>
        <v>No, not Hispanic or Latino</v>
      </c>
      <c r="G123" s="53" t="str">
        <f>IFERROR(__xludf.DUMMYFUNCTION("""COMPUTED_VALUE"""),"White")</f>
        <v>White</v>
      </c>
      <c r="H123" s="54">
        <f>IFERROR(__xludf.DUMMYFUNCTION("""COMPUTED_VALUE"""),1144.0)</f>
        <v>1144</v>
      </c>
      <c r="I123" s="53" t="str">
        <f>IFERROR(__xludf.DUMMYFUNCTION("""COMPUTED_VALUE"""),"000325")</f>
        <v>000325</v>
      </c>
      <c r="J123" s="53" t="str">
        <f>IFERROR(__xludf.DUMMYFUNCTION("""COMPUTED_VALUE"""),"24-25")</f>
        <v>24-25</v>
      </c>
    </row>
    <row r="124">
      <c r="A124" s="53" t="str">
        <f>IFERROR(__xludf.DUMMYFUNCTION("""COMPUTED_VALUE"""),"7642552645")</f>
        <v>7642552645</v>
      </c>
      <c r="B124" s="53" t="str">
        <f>IFERROR(__xludf.DUMMYFUNCTION("""COMPUTED_VALUE"""),"Becker")</f>
        <v>Becker</v>
      </c>
      <c r="C124" s="53" t="str">
        <f>IFERROR(__xludf.DUMMYFUNCTION("""COMPUTED_VALUE"""),"Sophia")</f>
        <v>Sophia</v>
      </c>
      <c r="D124" s="54">
        <f>IFERROR(__xludf.DUMMYFUNCTION("""COMPUTED_VALUE"""),7.0)</f>
        <v>7</v>
      </c>
      <c r="E124" s="53" t="str">
        <f>IFERROR(__xludf.DUMMYFUNCTION("""COMPUTED_VALUE"""),"F")</f>
        <v>F</v>
      </c>
      <c r="F124" s="53" t="str">
        <f>IFERROR(__xludf.DUMMYFUNCTION("""COMPUTED_VALUE"""),"No, not Hispanic or Latino")</f>
        <v>No, not Hispanic or Latino</v>
      </c>
      <c r="G124" s="53" t="str">
        <f>IFERROR(__xludf.DUMMYFUNCTION("""COMPUTED_VALUE"""),"White")</f>
        <v>White</v>
      </c>
      <c r="H124" s="54">
        <f>IFERROR(__xludf.DUMMYFUNCTION("""COMPUTED_VALUE"""),1016.0)</f>
        <v>1016</v>
      </c>
      <c r="I124" s="53" t="str">
        <f>IFERROR(__xludf.DUMMYFUNCTION("""COMPUTED_VALUE"""),"000329")</f>
        <v>000329</v>
      </c>
      <c r="J124" s="53" t="str">
        <f>IFERROR(__xludf.DUMMYFUNCTION("""COMPUTED_VALUE"""),"24-25")</f>
        <v>24-25</v>
      </c>
    </row>
    <row r="125">
      <c r="A125" s="53" t="str">
        <f>IFERROR(__xludf.DUMMYFUNCTION("""COMPUTED_VALUE"""),"5463992417")</f>
        <v>5463992417</v>
      </c>
      <c r="B125" s="53" t="str">
        <f>IFERROR(__xludf.DUMMYFUNCTION("""COMPUTED_VALUE"""),"Benin")</f>
        <v>Benin</v>
      </c>
      <c r="C125" s="53" t="str">
        <f>IFERROR(__xludf.DUMMYFUNCTION("""COMPUTED_VALUE"""),"Sidney")</f>
        <v>Sidney</v>
      </c>
      <c r="D125" s="54">
        <f>IFERROR(__xludf.DUMMYFUNCTION("""COMPUTED_VALUE"""),7.0)</f>
        <v>7</v>
      </c>
      <c r="E125" s="53" t="str">
        <f>IFERROR(__xludf.DUMMYFUNCTION("""COMPUTED_VALUE"""),"M")</f>
        <v>M</v>
      </c>
      <c r="F125" s="53" t="str">
        <f>IFERROR(__xludf.DUMMYFUNCTION("""COMPUTED_VALUE"""),"No, not Hispanic or Latino")</f>
        <v>No, not Hispanic or Latino</v>
      </c>
      <c r="G125" s="53" t="str">
        <f>IFERROR(__xludf.DUMMYFUNCTION("""COMPUTED_VALUE"""),"White")</f>
        <v>White</v>
      </c>
      <c r="H125" s="54">
        <f>IFERROR(__xludf.DUMMYFUNCTION("""COMPUTED_VALUE"""),1016.0)</f>
        <v>1016</v>
      </c>
      <c r="I125" s="53" t="str">
        <f>IFERROR(__xludf.DUMMYFUNCTION("""COMPUTED_VALUE"""),"000329")</f>
        <v>000329</v>
      </c>
      <c r="J125" s="53" t="str">
        <f>IFERROR(__xludf.DUMMYFUNCTION("""COMPUTED_VALUE"""),"24-25")</f>
        <v>24-25</v>
      </c>
    </row>
    <row r="126">
      <c r="A126" s="53" t="str">
        <f>IFERROR(__xludf.DUMMYFUNCTION("""COMPUTED_VALUE"""),"3682194838")</f>
        <v>3682194838</v>
      </c>
      <c r="B126" s="53" t="str">
        <f>IFERROR(__xludf.DUMMYFUNCTION("""COMPUTED_VALUE"""),"Buell")</f>
        <v>Buell</v>
      </c>
      <c r="C126" s="53" t="str">
        <f>IFERROR(__xludf.DUMMYFUNCTION("""COMPUTED_VALUE"""),"Amelia")</f>
        <v>Amelia</v>
      </c>
      <c r="D126" s="54">
        <f>IFERROR(__xludf.DUMMYFUNCTION("""COMPUTED_VALUE"""),7.0)</f>
        <v>7</v>
      </c>
      <c r="E126" s="53" t="str">
        <f>IFERROR(__xludf.DUMMYFUNCTION("""COMPUTED_VALUE"""),"F")</f>
        <v>F</v>
      </c>
      <c r="F126" s="53" t="str">
        <f>IFERROR(__xludf.DUMMYFUNCTION("""COMPUTED_VALUE"""),"No, not Hispanic or Latino")</f>
        <v>No, not Hispanic or Latino</v>
      </c>
      <c r="G126" s="53" t="str">
        <f>IFERROR(__xludf.DUMMYFUNCTION("""COMPUTED_VALUE"""),"White")</f>
        <v>White</v>
      </c>
      <c r="H126" s="54">
        <f>IFERROR(__xludf.DUMMYFUNCTION("""COMPUTED_VALUE"""),1144.0)</f>
        <v>1144</v>
      </c>
      <c r="I126" s="53" t="str">
        <f>IFERROR(__xludf.DUMMYFUNCTION("""COMPUTED_VALUE"""),"000325")</f>
        <v>000325</v>
      </c>
      <c r="J126" s="53" t="str">
        <f>IFERROR(__xludf.DUMMYFUNCTION("""COMPUTED_VALUE"""),"24-25")</f>
        <v>24-25</v>
      </c>
    </row>
    <row r="127">
      <c r="A127" s="53" t="str">
        <f>IFERROR(__xludf.DUMMYFUNCTION("""COMPUTED_VALUE"""),"2100259675")</f>
        <v>2100259675</v>
      </c>
      <c r="B127" s="53" t="str">
        <f>IFERROR(__xludf.DUMMYFUNCTION("""COMPUTED_VALUE"""),"Burgon")</f>
        <v>Burgon</v>
      </c>
      <c r="C127" s="53" t="str">
        <f>IFERROR(__xludf.DUMMYFUNCTION("""COMPUTED_VALUE"""),"Cate")</f>
        <v>Cate</v>
      </c>
      <c r="D127" s="54">
        <f>IFERROR(__xludf.DUMMYFUNCTION("""COMPUTED_VALUE"""),7.0)</f>
        <v>7</v>
      </c>
      <c r="E127" s="53" t="str">
        <f>IFERROR(__xludf.DUMMYFUNCTION("""COMPUTED_VALUE"""),"F")</f>
        <v>F</v>
      </c>
      <c r="F127" s="53" t="str">
        <f>IFERROR(__xludf.DUMMYFUNCTION("""COMPUTED_VALUE"""),"No, not Hispanic or Latino")</f>
        <v>No, not Hispanic or Latino</v>
      </c>
      <c r="G127" s="53" t="str">
        <f>IFERROR(__xludf.DUMMYFUNCTION("""COMPUTED_VALUE"""),"White")</f>
        <v>White</v>
      </c>
      <c r="H127" s="54">
        <f>IFERROR(__xludf.DUMMYFUNCTION("""COMPUTED_VALUE"""),1141.0)</f>
        <v>1141</v>
      </c>
      <c r="I127" s="53" t="str">
        <f>IFERROR(__xludf.DUMMYFUNCTION("""COMPUTED_VALUE"""),"000325")</f>
        <v>000325</v>
      </c>
      <c r="J127" s="53" t="str">
        <f>IFERROR(__xludf.DUMMYFUNCTION("""COMPUTED_VALUE"""),"24-25")</f>
        <v>24-25</v>
      </c>
    </row>
    <row r="128">
      <c r="A128" s="53" t="str">
        <f>IFERROR(__xludf.DUMMYFUNCTION("""COMPUTED_VALUE"""),"3290132362")</f>
        <v>3290132362</v>
      </c>
      <c r="B128" s="53" t="str">
        <f>IFERROR(__xludf.DUMMYFUNCTION("""COMPUTED_VALUE"""),"Calderon Alvarez")</f>
        <v>Calderon Alvarez</v>
      </c>
      <c r="C128" s="53" t="str">
        <f>IFERROR(__xludf.DUMMYFUNCTION("""COMPUTED_VALUE"""),"Braily")</f>
        <v>Braily</v>
      </c>
      <c r="D128" s="54">
        <f>IFERROR(__xludf.DUMMYFUNCTION("""COMPUTED_VALUE"""),7.0)</f>
        <v>7</v>
      </c>
      <c r="E128" s="53" t="str">
        <f>IFERROR(__xludf.DUMMYFUNCTION("""COMPUTED_VALUE"""),"M")</f>
        <v>M</v>
      </c>
      <c r="F128" s="53" t="str">
        <f>IFERROR(__xludf.DUMMYFUNCTION("""COMPUTED_VALUE"""),"Yes, Hispanic or Latino")</f>
        <v>Yes, Hispanic or Latino</v>
      </c>
      <c r="G128" s="53" t="str">
        <f>IFERROR(__xludf.DUMMYFUNCTION("""COMPUTED_VALUE"""),"No Answer Provided")</f>
        <v>No Answer Provided</v>
      </c>
      <c r="H128" s="54">
        <f>IFERROR(__xludf.DUMMYFUNCTION("""COMPUTED_VALUE"""),1141.0)</f>
        <v>1141</v>
      </c>
      <c r="I128" s="53" t="str">
        <f>IFERROR(__xludf.DUMMYFUNCTION("""COMPUTED_VALUE"""),"000325")</f>
        <v>000325</v>
      </c>
      <c r="J128" s="53" t="str">
        <f>IFERROR(__xludf.DUMMYFUNCTION("""COMPUTED_VALUE"""),"24-25")</f>
        <v>24-25</v>
      </c>
    </row>
    <row r="129">
      <c r="A129" s="53" t="str">
        <f>IFERROR(__xludf.DUMMYFUNCTION("""COMPUTED_VALUE"""),"3793278352")</f>
        <v>3793278352</v>
      </c>
      <c r="B129" s="53" t="str">
        <f>IFERROR(__xludf.DUMMYFUNCTION("""COMPUTED_VALUE"""),"Carroll")</f>
        <v>Carroll</v>
      </c>
      <c r="C129" s="53" t="str">
        <f>IFERROR(__xludf.DUMMYFUNCTION("""COMPUTED_VALUE"""),"Remy")</f>
        <v>Remy</v>
      </c>
      <c r="D129" s="54">
        <f>IFERROR(__xludf.DUMMYFUNCTION("""COMPUTED_VALUE"""),7.0)</f>
        <v>7</v>
      </c>
      <c r="E129" s="53" t="str">
        <f>IFERROR(__xludf.DUMMYFUNCTION("""COMPUTED_VALUE"""),"M")</f>
        <v>M</v>
      </c>
      <c r="F129" s="53" t="str">
        <f>IFERROR(__xludf.DUMMYFUNCTION("""COMPUTED_VALUE"""),"No, not Hispanic or Latino")</f>
        <v>No, not Hispanic or Latino</v>
      </c>
      <c r="G129" s="53" t="str">
        <f>IFERROR(__xludf.DUMMYFUNCTION("""COMPUTED_VALUE"""),"White")</f>
        <v>White</v>
      </c>
      <c r="H129" s="54">
        <f>IFERROR(__xludf.DUMMYFUNCTION("""COMPUTED_VALUE"""),1016.0)</f>
        <v>1016</v>
      </c>
      <c r="I129" s="53" t="str">
        <f>IFERROR(__xludf.DUMMYFUNCTION("""COMPUTED_VALUE"""),"000329")</f>
        <v>000329</v>
      </c>
      <c r="J129" s="53" t="str">
        <f>IFERROR(__xludf.DUMMYFUNCTION("""COMPUTED_VALUE"""),"24-25")</f>
        <v>24-25</v>
      </c>
    </row>
    <row r="130">
      <c r="A130" s="53" t="str">
        <f>IFERROR(__xludf.DUMMYFUNCTION("""COMPUTED_VALUE"""),"9137215427")</f>
        <v>9137215427</v>
      </c>
      <c r="B130" s="53" t="str">
        <f>IFERROR(__xludf.DUMMYFUNCTION("""COMPUTED_VALUE"""),"Dayton")</f>
        <v>Dayton</v>
      </c>
      <c r="C130" s="53" t="str">
        <f>IFERROR(__xludf.DUMMYFUNCTION("""COMPUTED_VALUE"""),"Anderson")</f>
        <v>Anderson</v>
      </c>
      <c r="D130" s="54">
        <f>IFERROR(__xludf.DUMMYFUNCTION("""COMPUTED_VALUE"""),7.0)</f>
        <v>7</v>
      </c>
      <c r="E130" s="53" t="str">
        <f>IFERROR(__xludf.DUMMYFUNCTION("""COMPUTED_VALUE"""),"M")</f>
        <v>M</v>
      </c>
      <c r="F130" s="53" t="str">
        <f>IFERROR(__xludf.DUMMYFUNCTION("""COMPUTED_VALUE"""),"Yes, Hispanic or Latino")</f>
        <v>Yes, Hispanic or Latino</v>
      </c>
      <c r="G130" s="53" t="str">
        <f>IFERROR(__xludf.DUMMYFUNCTION("""COMPUTED_VALUE"""),"White")</f>
        <v>White</v>
      </c>
      <c r="H130" s="54">
        <f>IFERROR(__xludf.DUMMYFUNCTION("""COMPUTED_VALUE"""),1016.0)</f>
        <v>1016</v>
      </c>
      <c r="I130" s="53" t="str">
        <f>IFERROR(__xludf.DUMMYFUNCTION("""COMPUTED_VALUE"""),"000329")</f>
        <v>000329</v>
      </c>
      <c r="J130" s="53" t="str">
        <f>IFERROR(__xludf.DUMMYFUNCTION("""COMPUTED_VALUE"""),"24-25")</f>
        <v>24-25</v>
      </c>
    </row>
    <row r="131">
      <c r="A131" s="53" t="str">
        <f>IFERROR(__xludf.DUMMYFUNCTION("""COMPUTED_VALUE"""),"8117207638")</f>
        <v>8117207638</v>
      </c>
      <c r="B131" s="53" t="str">
        <f>IFERROR(__xludf.DUMMYFUNCTION("""COMPUTED_VALUE"""),"Doan")</f>
        <v>Doan</v>
      </c>
      <c r="C131" s="53" t="str">
        <f>IFERROR(__xludf.DUMMYFUNCTION("""COMPUTED_VALUE"""),"Leia")</f>
        <v>Leia</v>
      </c>
      <c r="D131" s="54">
        <f>IFERROR(__xludf.DUMMYFUNCTION("""COMPUTED_VALUE"""),7.0)</f>
        <v>7</v>
      </c>
      <c r="E131" s="53" t="str">
        <f>IFERROR(__xludf.DUMMYFUNCTION("""COMPUTED_VALUE"""),"F")</f>
        <v>F</v>
      </c>
      <c r="F131" s="53" t="str">
        <f>IFERROR(__xludf.DUMMYFUNCTION("""COMPUTED_VALUE"""),"No, not Hispanic or Latino")</f>
        <v>No, not Hispanic or Latino</v>
      </c>
      <c r="G131" s="53" t="str">
        <f>IFERROR(__xludf.DUMMYFUNCTION("""COMPUTED_VALUE"""),"White")</f>
        <v>White</v>
      </c>
      <c r="H131" s="54">
        <f>IFERROR(__xludf.DUMMYFUNCTION("""COMPUTED_VALUE"""),1016.0)</f>
        <v>1016</v>
      </c>
      <c r="I131" s="53" t="str">
        <f>IFERROR(__xludf.DUMMYFUNCTION("""COMPUTED_VALUE"""),"000329")</f>
        <v>000329</v>
      </c>
      <c r="J131" s="53" t="str">
        <f>IFERROR(__xludf.DUMMYFUNCTION("""COMPUTED_VALUE"""),"24-25")</f>
        <v>24-25</v>
      </c>
    </row>
    <row r="132">
      <c r="A132" s="53" t="str">
        <f>IFERROR(__xludf.DUMMYFUNCTION("""COMPUTED_VALUE"""),"3732120224")</f>
        <v>3732120224</v>
      </c>
      <c r="B132" s="53" t="str">
        <f>IFERROR(__xludf.DUMMYFUNCTION("""COMPUTED_VALUE"""),"Evens")</f>
        <v>Evens</v>
      </c>
      <c r="C132" s="53" t="str">
        <f>IFERROR(__xludf.DUMMYFUNCTION("""COMPUTED_VALUE"""),"Scarlett")</f>
        <v>Scarlett</v>
      </c>
      <c r="D132" s="54">
        <f>IFERROR(__xludf.DUMMYFUNCTION("""COMPUTED_VALUE"""),7.0)</f>
        <v>7</v>
      </c>
      <c r="E132" s="53" t="str">
        <f>IFERROR(__xludf.DUMMYFUNCTION("""COMPUTED_VALUE"""),"F")</f>
        <v>F</v>
      </c>
      <c r="F132" s="53" t="str">
        <f>IFERROR(__xludf.DUMMYFUNCTION("""COMPUTED_VALUE"""),"No, not Hispanic or Latino")</f>
        <v>No, not Hispanic or Latino</v>
      </c>
      <c r="G132" s="53" t="str">
        <f>IFERROR(__xludf.DUMMYFUNCTION("""COMPUTED_VALUE"""),"White")</f>
        <v>White</v>
      </c>
      <c r="H132" s="54">
        <f>IFERROR(__xludf.DUMMYFUNCTION("""COMPUTED_VALUE"""),1016.0)</f>
        <v>1016</v>
      </c>
      <c r="I132" s="53" t="str">
        <f>IFERROR(__xludf.DUMMYFUNCTION("""COMPUTED_VALUE"""),"000329")</f>
        <v>000329</v>
      </c>
      <c r="J132" s="53" t="str">
        <f>IFERROR(__xludf.DUMMYFUNCTION("""COMPUTED_VALUE"""),"24-25")</f>
        <v>24-25</v>
      </c>
    </row>
    <row r="133">
      <c r="A133" s="53" t="str">
        <f>IFERROR(__xludf.DUMMYFUNCTION("""COMPUTED_VALUE"""),"1241645602")</f>
        <v>1241645602</v>
      </c>
      <c r="B133" s="53" t="str">
        <f>IFERROR(__xludf.DUMMYFUNCTION("""COMPUTED_VALUE"""),"Fischer")</f>
        <v>Fischer</v>
      </c>
      <c r="C133" s="53" t="str">
        <f>IFERROR(__xludf.DUMMYFUNCTION("""COMPUTED_VALUE"""),"Devon")</f>
        <v>Devon</v>
      </c>
      <c r="D133" s="54">
        <f>IFERROR(__xludf.DUMMYFUNCTION("""COMPUTED_VALUE"""),7.0)</f>
        <v>7</v>
      </c>
      <c r="E133" s="53" t="str">
        <f>IFERROR(__xludf.DUMMYFUNCTION("""COMPUTED_VALUE"""),"M")</f>
        <v>M</v>
      </c>
      <c r="F133" s="53" t="str">
        <f>IFERROR(__xludf.DUMMYFUNCTION("""COMPUTED_VALUE"""),"No, not Hispanic or Latino")</f>
        <v>No, not Hispanic or Latino</v>
      </c>
      <c r="G133" s="53" t="str">
        <f>IFERROR(__xludf.DUMMYFUNCTION("""COMPUTED_VALUE"""),"White")</f>
        <v>White</v>
      </c>
      <c r="H133" s="54">
        <f>IFERROR(__xludf.DUMMYFUNCTION("""COMPUTED_VALUE"""),1141.0)</f>
        <v>1141</v>
      </c>
      <c r="I133" s="53" t="str">
        <f>IFERROR(__xludf.DUMMYFUNCTION("""COMPUTED_VALUE"""),"000325")</f>
        <v>000325</v>
      </c>
      <c r="J133" s="53" t="str">
        <f>IFERROR(__xludf.DUMMYFUNCTION("""COMPUTED_VALUE"""),"24-25")</f>
        <v>24-25</v>
      </c>
    </row>
    <row r="134">
      <c r="A134" s="53" t="str">
        <f>IFERROR(__xludf.DUMMYFUNCTION("""COMPUTED_VALUE"""),"2532054802")</f>
        <v>2532054802</v>
      </c>
      <c r="B134" s="53" t="str">
        <f>IFERROR(__xludf.DUMMYFUNCTION("""COMPUTED_VALUE"""),"Fuette")</f>
        <v>Fuette</v>
      </c>
      <c r="C134" s="53" t="str">
        <f>IFERROR(__xludf.DUMMYFUNCTION("""COMPUTED_VALUE"""),"Joshua")</f>
        <v>Joshua</v>
      </c>
      <c r="D134" s="54">
        <f>IFERROR(__xludf.DUMMYFUNCTION("""COMPUTED_VALUE"""),7.0)</f>
        <v>7</v>
      </c>
      <c r="E134" s="53" t="str">
        <f>IFERROR(__xludf.DUMMYFUNCTION("""COMPUTED_VALUE"""),"M")</f>
        <v>M</v>
      </c>
      <c r="F134" s="53" t="str">
        <f>IFERROR(__xludf.DUMMYFUNCTION("""COMPUTED_VALUE"""),"No, not Hispanic or Latino")</f>
        <v>No, not Hispanic or Latino</v>
      </c>
      <c r="G134" s="53" t="str">
        <f>IFERROR(__xludf.DUMMYFUNCTION("""COMPUTED_VALUE"""),"White")</f>
        <v>White</v>
      </c>
      <c r="H134" s="54">
        <f>IFERROR(__xludf.DUMMYFUNCTION("""COMPUTED_VALUE"""),1140.0)</f>
        <v>1140</v>
      </c>
      <c r="I134" s="53" t="str">
        <f>IFERROR(__xludf.DUMMYFUNCTION("""COMPUTED_VALUE"""),"000325")</f>
        <v>000325</v>
      </c>
      <c r="J134" s="53" t="str">
        <f>IFERROR(__xludf.DUMMYFUNCTION("""COMPUTED_VALUE"""),"24-25")</f>
        <v>24-25</v>
      </c>
    </row>
    <row r="135">
      <c r="A135" s="53" t="str">
        <f>IFERROR(__xludf.DUMMYFUNCTION("""COMPUTED_VALUE"""),"6565164906")</f>
        <v>6565164906</v>
      </c>
      <c r="B135" s="53" t="str">
        <f>IFERROR(__xludf.DUMMYFUNCTION("""COMPUTED_VALUE"""),"Grammer")</f>
        <v>Grammer</v>
      </c>
      <c r="C135" s="53" t="str">
        <f>IFERROR(__xludf.DUMMYFUNCTION("""COMPUTED_VALUE"""),"Dylan")</f>
        <v>Dylan</v>
      </c>
      <c r="D135" s="54">
        <f>IFERROR(__xludf.DUMMYFUNCTION("""COMPUTED_VALUE"""),7.0)</f>
        <v>7</v>
      </c>
      <c r="E135" s="53" t="str">
        <f>IFERROR(__xludf.DUMMYFUNCTION("""COMPUTED_VALUE"""),"M")</f>
        <v>M</v>
      </c>
      <c r="F135" s="53" t="str">
        <f>IFERROR(__xludf.DUMMYFUNCTION("""COMPUTED_VALUE"""),"No, not Hispanic or Latino")</f>
        <v>No, not Hispanic or Latino</v>
      </c>
      <c r="G135" s="53" t="str">
        <f>IFERROR(__xludf.DUMMYFUNCTION("""COMPUTED_VALUE"""),"White")</f>
        <v>White</v>
      </c>
      <c r="H135" s="54">
        <f>IFERROR(__xludf.DUMMYFUNCTION("""COMPUTED_VALUE"""),1144.0)</f>
        <v>1144</v>
      </c>
      <c r="I135" s="53" t="str">
        <f>IFERROR(__xludf.DUMMYFUNCTION("""COMPUTED_VALUE"""),"000325")</f>
        <v>000325</v>
      </c>
      <c r="J135" s="53" t="str">
        <f>IFERROR(__xludf.DUMMYFUNCTION("""COMPUTED_VALUE"""),"24-25")</f>
        <v>24-25</v>
      </c>
    </row>
    <row r="136">
      <c r="A136" s="53" t="str">
        <f>IFERROR(__xludf.DUMMYFUNCTION("""COMPUTED_VALUE"""),"4085724712")</f>
        <v>4085724712</v>
      </c>
      <c r="B136" s="53" t="str">
        <f>IFERROR(__xludf.DUMMYFUNCTION("""COMPUTED_VALUE"""),"Grinchenko")</f>
        <v>Grinchenko</v>
      </c>
      <c r="C136" s="53" t="str">
        <f>IFERROR(__xludf.DUMMYFUNCTION("""COMPUTED_VALUE"""),"Ivan")</f>
        <v>Ivan</v>
      </c>
      <c r="D136" s="54">
        <f>IFERROR(__xludf.DUMMYFUNCTION("""COMPUTED_VALUE"""),7.0)</f>
        <v>7</v>
      </c>
      <c r="E136" s="53" t="str">
        <f>IFERROR(__xludf.DUMMYFUNCTION("""COMPUTED_VALUE"""),"M")</f>
        <v>M</v>
      </c>
      <c r="F136" s="53" t="str">
        <f>IFERROR(__xludf.DUMMYFUNCTION("""COMPUTED_VALUE"""),"No, not Hispanic or Latino")</f>
        <v>No, not Hispanic or Latino</v>
      </c>
      <c r="G136" s="53" t="str">
        <f>IFERROR(__xludf.DUMMYFUNCTION("""COMPUTED_VALUE"""),"White")</f>
        <v>White</v>
      </c>
      <c r="H136" s="54">
        <f>IFERROR(__xludf.DUMMYFUNCTION("""COMPUTED_VALUE"""),1140.0)</f>
        <v>1140</v>
      </c>
      <c r="I136" s="53" t="str">
        <f>IFERROR(__xludf.DUMMYFUNCTION("""COMPUTED_VALUE"""),"000325")</f>
        <v>000325</v>
      </c>
      <c r="J136" s="53" t="str">
        <f>IFERROR(__xludf.DUMMYFUNCTION("""COMPUTED_VALUE"""),"24-25")</f>
        <v>24-25</v>
      </c>
    </row>
    <row r="137">
      <c r="A137" s="53" t="str">
        <f>IFERROR(__xludf.DUMMYFUNCTION("""COMPUTED_VALUE"""),"6342064828")</f>
        <v>6342064828</v>
      </c>
      <c r="B137" s="53" t="str">
        <f>IFERROR(__xludf.DUMMYFUNCTION("""COMPUTED_VALUE"""),"Harrow")</f>
        <v>Harrow</v>
      </c>
      <c r="C137" s="53" t="str">
        <f>IFERROR(__xludf.DUMMYFUNCTION("""COMPUTED_VALUE"""),"Ryan")</f>
        <v>Ryan</v>
      </c>
      <c r="D137" s="54">
        <f>IFERROR(__xludf.DUMMYFUNCTION("""COMPUTED_VALUE"""),7.0)</f>
        <v>7</v>
      </c>
      <c r="E137" s="53" t="str">
        <f>IFERROR(__xludf.DUMMYFUNCTION("""COMPUTED_VALUE"""),"M")</f>
        <v>M</v>
      </c>
      <c r="F137" s="53" t="str">
        <f>IFERROR(__xludf.DUMMYFUNCTION("""COMPUTED_VALUE"""),"No, not Hispanic or Latino")</f>
        <v>No, not Hispanic or Latino</v>
      </c>
      <c r="G137" s="53" t="str">
        <f>IFERROR(__xludf.DUMMYFUNCTION("""COMPUTED_VALUE"""),"White")</f>
        <v>White</v>
      </c>
      <c r="H137" s="54">
        <f>IFERROR(__xludf.DUMMYFUNCTION("""COMPUTED_VALUE"""),1145.0)</f>
        <v>1145</v>
      </c>
      <c r="I137" s="53" t="str">
        <f>IFERROR(__xludf.DUMMYFUNCTION("""COMPUTED_VALUE"""),"000325")</f>
        <v>000325</v>
      </c>
      <c r="J137" s="53" t="str">
        <f>IFERROR(__xludf.DUMMYFUNCTION("""COMPUTED_VALUE"""),"24-25")</f>
        <v>24-25</v>
      </c>
    </row>
    <row r="138">
      <c r="A138" s="53" t="str">
        <f>IFERROR(__xludf.DUMMYFUNCTION("""COMPUTED_VALUE"""),"2944171991")</f>
        <v>2944171991</v>
      </c>
      <c r="B138" s="53" t="str">
        <f>IFERROR(__xludf.DUMMYFUNCTION("""COMPUTED_VALUE"""),"Hawkins")</f>
        <v>Hawkins</v>
      </c>
      <c r="C138" s="53" t="str">
        <f>IFERROR(__xludf.DUMMYFUNCTION("""COMPUTED_VALUE"""),"James")</f>
        <v>James</v>
      </c>
      <c r="D138" s="54">
        <f>IFERROR(__xludf.DUMMYFUNCTION("""COMPUTED_VALUE"""),7.0)</f>
        <v>7</v>
      </c>
      <c r="E138" s="53" t="str">
        <f>IFERROR(__xludf.DUMMYFUNCTION("""COMPUTED_VALUE"""),"M")</f>
        <v>M</v>
      </c>
      <c r="F138" s="53" t="str">
        <f>IFERROR(__xludf.DUMMYFUNCTION("""COMPUTED_VALUE"""),"No, not Hispanic or Latino")</f>
        <v>No, not Hispanic or Latino</v>
      </c>
      <c r="G138" s="53" t="str">
        <f>IFERROR(__xludf.DUMMYFUNCTION("""COMPUTED_VALUE"""),"White")</f>
        <v>White</v>
      </c>
      <c r="H138" s="54">
        <f>IFERROR(__xludf.DUMMYFUNCTION("""COMPUTED_VALUE"""),1016.0)</f>
        <v>1016</v>
      </c>
      <c r="I138" s="53" t="str">
        <f>IFERROR(__xludf.DUMMYFUNCTION("""COMPUTED_VALUE"""),"000329")</f>
        <v>000329</v>
      </c>
      <c r="J138" s="53" t="str">
        <f>IFERROR(__xludf.DUMMYFUNCTION("""COMPUTED_VALUE"""),"24-25")</f>
        <v>24-25</v>
      </c>
    </row>
    <row r="139">
      <c r="A139" s="53" t="str">
        <f>IFERROR(__xludf.DUMMYFUNCTION("""COMPUTED_VALUE"""),"3787724507")</f>
        <v>3787724507</v>
      </c>
      <c r="B139" s="53" t="str">
        <f>IFERROR(__xludf.DUMMYFUNCTION("""COMPUTED_VALUE"""),"Ikeda")</f>
        <v>Ikeda</v>
      </c>
      <c r="C139" s="53" t="str">
        <f>IFERROR(__xludf.DUMMYFUNCTION("""COMPUTED_VALUE"""),"Alexander")</f>
        <v>Alexander</v>
      </c>
      <c r="D139" s="54">
        <f>IFERROR(__xludf.DUMMYFUNCTION("""COMPUTED_VALUE"""),7.0)</f>
        <v>7</v>
      </c>
      <c r="E139" s="53" t="str">
        <f>IFERROR(__xludf.DUMMYFUNCTION("""COMPUTED_VALUE"""),"M")</f>
        <v>M</v>
      </c>
      <c r="F139" s="53" t="str">
        <f>IFERROR(__xludf.DUMMYFUNCTION("""COMPUTED_VALUE"""),"Yes, Hispanic or Latino")</f>
        <v>Yes, Hispanic or Latino</v>
      </c>
      <c r="G139" s="53" t="str">
        <f>IFERROR(__xludf.DUMMYFUNCTION("""COMPUTED_VALUE"""),"Japanese")</f>
        <v>Japanese</v>
      </c>
      <c r="H139" s="54">
        <f>IFERROR(__xludf.DUMMYFUNCTION("""COMPUTED_VALUE"""),1141.0)</f>
        <v>1141</v>
      </c>
      <c r="I139" s="53" t="str">
        <f>IFERROR(__xludf.DUMMYFUNCTION("""COMPUTED_VALUE"""),"000325")</f>
        <v>000325</v>
      </c>
      <c r="J139" s="53" t="str">
        <f>IFERROR(__xludf.DUMMYFUNCTION("""COMPUTED_VALUE"""),"24-25")</f>
        <v>24-25</v>
      </c>
    </row>
    <row r="140">
      <c r="A140" s="53" t="str">
        <f>IFERROR(__xludf.DUMMYFUNCTION("""COMPUTED_VALUE"""),"5572040771")</f>
        <v>5572040771</v>
      </c>
      <c r="B140" s="53" t="str">
        <f>IFERROR(__xludf.DUMMYFUNCTION("""COMPUTED_VALUE"""),"Johnson")</f>
        <v>Johnson</v>
      </c>
      <c r="C140" s="53" t="str">
        <f>IFERROR(__xludf.DUMMYFUNCTION("""COMPUTED_VALUE"""),"Owen")</f>
        <v>Owen</v>
      </c>
      <c r="D140" s="54">
        <f>IFERROR(__xludf.DUMMYFUNCTION("""COMPUTED_VALUE"""),7.0)</f>
        <v>7</v>
      </c>
      <c r="E140" s="53" t="str">
        <f>IFERROR(__xludf.DUMMYFUNCTION("""COMPUTED_VALUE"""),"M")</f>
        <v>M</v>
      </c>
      <c r="F140" s="53" t="str">
        <f>IFERROR(__xludf.DUMMYFUNCTION("""COMPUTED_VALUE"""),"No, not Hispanic or Latino")</f>
        <v>No, not Hispanic or Latino</v>
      </c>
      <c r="G140" s="53" t="str">
        <f>IFERROR(__xludf.DUMMYFUNCTION("""COMPUTED_VALUE"""),"White")</f>
        <v>White</v>
      </c>
      <c r="H140" s="54">
        <f>IFERROR(__xludf.DUMMYFUNCTION("""COMPUTED_VALUE"""),1016.0)</f>
        <v>1016</v>
      </c>
      <c r="I140" s="53" t="str">
        <f>IFERROR(__xludf.DUMMYFUNCTION("""COMPUTED_VALUE"""),"000329")</f>
        <v>000329</v>
      </c>
      <c r="J140" s="53" t="str">
        <f>IFERROR(__xludf.DUMMYFUNCTION("""COMPUTED_VALUE"""),"24-25")</f>
        <v>24-25</v>
      </c>
    </row>
    <row r="141">
      <c r="A141" s="53" t="str">
        <f>IFERROR(__xludf.DUMMYFUNCTION("""COMPUTED_VALUE"""),"8515397441")</f>
        <v>8515397441</v>
      </c>
      <c r="B141" s="53" t="str">
        <f>IFERROR(__xludf.DUMMYFUNCTION("""COMPUTED_VALUE"""),"Jones")</f>
        <v>Jones</v>
      </c>
      <c r="C141" s="53" t="str">
        <f>IFERROR(__xludf.DUMMYFUNCTION("""COMPUTED_VALUE"""),"Violetta")</f>
        <v>Violetta</v>
      </c>
      <c r="D141" s="54">
        <f>IFERROR(__xludf.DUMMYFUNCTION("""COMPUTED_VALUE"""),7.0)</f>
        <v>7</v>
      </c>
      <c r="E141" s="53" t="str">
        <f>IFERROR(__xludf.DUMMYFUNCTION("""COMPUTED_VALUE"""),"F")</f>
        <v>F</v>
      </c>
      <c r="F141" s="53" t="str">
        <f>IFERROR(__xludf.DUMMYFUNCTION("""COMPUTED_VALUE"""),"No, not Hispanic or Latino")</f>
        <v>No, not Hispanic or Latino</v>
      </c>
      <c r="G141" s="53" t="str">
        <f>IFERROR(__xludf.DUMMYFUNCTION("""COMPUTED_VALUE"""),"White")</f>
        <v>White</v>
      </c>
      <c r="H141" s="54">
        <f>IFERROR(__xludf.DUMMYFUNCTION("""COMPUTED_VALUE"""),1016.0)</f>
        <v>1016</v>
      </c>
      <c r="I141" s="53" t="str">
        <f>IFERROR(__xludf.DUMMYFUNCTION("""COMPUTED_VALUE"""),"000329")</f>
        <v>000329</v>
      </c>
      <c r="J141" s="53" t="str">
        <f>IFERROR(__xludf.DUMMYFUNCTION("""COMPUTED_VALUE"""),"24-25")</f>
        <v>24-25</v>
      </c>
    </row>
    <row r="142">
      <c r="A142" s="53" t="str">
        <f>IFERROR(__xludf.DUMMYFUNCTION("""COMPUTED_VALUE"""),"7782793288")</f>
        <v>7782793288</v>
      </c>
      <c r="B142" s="53" t="str">
        <f>IFERROR(__xludf.DUMMYFUNCTION("""COMPUTED_VALUE"""),"Keast")</f>
        <v>Keast</v>
      </c>
      <c r="C142" s="53" t="str">
        <f>IFERROR(__xludf.DUMMYFUNCTION("""COMPUTED_VALUE"""),"Ethan")</f>
        <v>Ethan</v>
      </c>
      <c r="D142" s="54">
        <f>IFERROR(__xludf.DUMMYFUNCTION("""COMPUTED_VALUE"""),7.0)</f>
        <v>7</v>
      </c>
      <c r="E142" s="53" t="str">
        <f>IFERROR(__xludf.DUMMYFUNCTION("""COMPUTED_VALUE"""),"M")</f>
        <v>M</v>
      </c>
      <c r="F142" s="53" t="str">
        <f>IFERROR(__xludf.DUMMYFUNCTION("""COMPUTED_VALUE"""),"No, not Hispanic or Latino")</f>
        <v>No, not Hispanic or Latino</v>
      </c>
      <c r="G142" s="53" t="str">
        <f>IFERROR(__xludf.DUMMYFUNCTION("""COMPUTED_VALUE"""),"Chinese")</f>
        <v>Chinese</v>
      </c>
      <c r="H142" s="54">
        <f>IFERROR(__xludf.DUMMYFUNCTION("""COMPUTED_VALUE"""),1016.0)</f>
        <v>1016</v>
      </c>
      <c r="I142" s="53" t="str">
        <f>IFERROR(__xludf.DUMMYFUNCTION("""COMPUTED_VALUE"""),"000329")</f>
        <v>000329</v>
      </c>
      <c r="J142" s="53" t="str">
        <f>IFERROR(__xludf.DUMMYFUNCTION("""COMPUTED_VALUE"""),"24-25")</f>
        <v>24-25</v>
      </c>
    </row>
    <row r="143">
      <c r="A143" s="53" t="str">
        <f>IFERROR(__xludf.DUMMYFUNCTION("""COMPUTED_VALUE"""),"3005579092")</f>
        <v>3005579092</v>
      </c>
      <c r="B143" s="53" t="str">
        <f>IFERROR(__xludf.DUMMYFUNCTION("""COMPUTED_VALUE"""),"Kelly")</f>
        <v>Kelly</v>
      </c>
      <c r="C143" s="53" t="str">
        <f>IFERROR(__xludf.DUMMYFUNCTION("""COMPUTED_VALUE"""),"Elizabeth")</f>
        <v>Elizabeth</v>
      </c>
      <c r="D143" s="54">
        <f>IFERROR(__xludf.DUMMYFUNCTION("""COMPUTED_VALUE"""),7.0)</f>
        <v>7</v>
      </c>
      <c r="E143" s="53" t="str">
        <f>IFERROR(__xludf.DUMMYFUNCTION("""COMPUTED_VALUE"""),"F")</f>
        <v>F</v>
      </c>
      <c r="F143" s="53" t="str">
        <f>IFERROR(__xludf.DUMMYFUNCTION("""COMPUTED_VALUE"""),"No, not Hispanic or Latino")</f>
        <v>No, not Hispanic or Latino</v>
      </c>
      <c r="G143" s="53" t="str">
        <f>IFERROR(__xludf.DUMMYFUNCTION("""COMPUTED_VALUE"""),"White")</f>
        <v>White</v>
      </c>
      <c r="H143" s="54">
        <f>IFERROR(__xludf.DUMMYFUNCTION("""COMPUTED_VALUE"""),1145.0)</f>
        <v>1145</v>
      </c>
      <c r="I143" s="53" t="str">
        <f>IFERROR(__xludf.DUMMYFUNCTION("""COMPUTED_VALUE"""),"000325")</f>
        <v>000325</v>
      </c>
      <c r="J143" s="53" t="str">
        <f>IFERROR(__xludf.DUMMYFUNCTION("""COMPUTED_VALUE"""),"24-25")</f>
        <v>24-25</v>
      </c>
    </row>
    <row r="144">
      <c r="A144" s="53" t="str">
        <f>IFERROR(__xludf.DUMMYFUNCTION("""COMPUTED_VALUE"""),"6933712476")</f>
        <v>6933712476</v>
      </c>
      <c r="B144" s="53" t="str">
        <f>IFERROR(__xludf.DUMMYFUNCTION("""COMPUTED_VALUE"""),"Kelly")</f>
        <v>Kelly</v>
      </c>
      <c r="C144" s="53" t="str">
        <f>IFERROR(__xludf.DUMMYFUNCTION("""COMPUTED_VALUE"""),"James")</f>
        <v>James</v>
      </c>
      <c r="D144" s="54">
        <f>IFERROR(__xludf.DUMMYFUNCTION("""COMPUTED_VALUE"""),7.0)</f>
        <v>7</v>
      </c>
      <c r="E144" s="53" t="str">
        <f>IFERROR(__xludf.DUMMYFUNCTION("""COMPUTED_VALUE"""),"M")</f>
        <v>M</v>
      </c>
      <c r="F144" s="53" t="str">
        <f>IFERROR(__xludf.DUMMYFUNCTION("""COMPUTED_VALUE"""),"No, not Hispanic or Latino")</f>
        <v>No, not Hispanic or Latino</v>
      </c>
      <c r="G144" s="53" t="str">
        <f>IFERROR(__xludf.DUMMYFUNCTION("""COMPUTED_VALUE"""),"White")</f>
        <v>White</v>
      </c>
      <c r="H144" s="54">
        <f>IFERROR(__xludf.DUMMYFUNCTION("""COMPUTED_VALUE"""),1145.0)</f>
        <v>1145</v>
      </c>
      <c r="I144" s="53" t="str">
        <f>IFERROR(__xludf.DUMMYFUNCTION("""COMPUTED_VALUE"""),"000325")</f>
        <v>000325</v>
      </c>
      <c r="J144" s="53" t="str">
        <f>IFERROR(__xludf.DUMMYFUNCTION("""COMPUTED_VALUE"""),"24-25")</f>
        <v>24-25</v>
      </c>
    </row>
    <row r="145">
      <c r="A145" s="53" t="str">
        <f>IFERROR(__xludf.DUMMYFUNCTION("""COMPUTED_VALUE"""),"5797643308")</f>
        <v>5797643308</v>
      </c>
      <c r="B145" s="53" t="str">
        <f>IFERROR(__xludf.DUMMYFUNCTION("""COMPUTED_VALUE"""),"Lawlor")</f>
        <v>Lawlor</v>
      </c>
      <c r="C145" s="53" t="str">
        <f>IFERROR(__xludf.DUMMYFUNCTION("""COMPUTED_VALUE"""),"William")</f>
        <v>William</v>
      </c>
      <c r="D145" s="54">
        <f>IFERROR(__xludf.DUMMYFUNCTION("""COMPUTED_VALUE"""),7.0)</f>
        <v>7</v>
      </c>
      <c r="E145" s="53" t="str">
        <f>IFERROR(__xludf.DUMMYFUNCTION("""COMPUTED_VALUE"""),"M")</f>
        <v>M</v>
      </c>
      <c r="F145" s="53" t="str">
        <f>IFERROR(__xludf.DUMMYFUNCTION("""COMPUTED_VALUE"""),"Yes, Hispanic or Latino")</f>
        <v>Yes, Hispanic or Latino</v>
      </c>
      <c r="G145" s="53" t="str">
        <f>IFERROR(__xludf.DUMMYFUNCTION("""COMPUTED_VALUE"""),"White")</f>
        <v>White</v>
      </c>
      <c r="H145" s="54">
        <f>IFERROR(__xludf.DUMMYFUNCTION("""COMPUTED_VALUE"""),1016.0)</f>
        <v>1016</v>
      </c>
      <c r="I145" s="53" t="str">
        <f>IFERROR(__xludf.DUMMYFUNCTION("""COMPUTED_VALUE"""),"000329")</f>
        <v>000329</v>
      </c>
      <c r="J145" s="53" t="str">
        <f>IFERROR(__xludf.DUMMYFUNCTION("""COMPUTED_VALUE"""),"24-25")</f>
        <v>24-25</v>
      </c>
    </row>
    <row r="146">
      <c r="A146" s="53" t="str">
        <f>IFERROR(__xludf.DUMMYFUNCTION("""COMPUTED_VALUE"""),"1232428443")</f>
        <v>1232428443</v>
      </c>
      <c r="B146" s="53" t="str">
        <f>IFERROR(__xludf.DUMMYFUNCTION("""COMPUTED_VALUE"""),"Lee")</f>
        <v>Lee</v>
      </c>
      <c r="C146" s="53" t="str">
        <f>IFERROR(__xludf.DUMMYFUNCTION("""COMPUTED_VALUE"""),"Bennett")</f>
        <v>Bennett</v>
      </c>
      <c r="D146" s="54">
        <f>IFERROR(__xludf.DUMMYFUNCTION("""COMPUTED_VALUE"""),7.0)</f>
        <v>7</v>
      </c>
      <c r="E146" s="53" t="str">
        <f>IFERROR(__xludf.DUMMYFUNCTION("""COMPUTED_VALUE"""),"M")</f>
        <v>M</v>
      </c>
      <c r="F146" s="53" t="str">
        <f>IFERROR(__xludf.DUMMYFUNCTION("""COMPUTED_VALUE"""),"No, not Hispanic or Latino")</f>
        <v>No, not Hispanic or Latino</v>
      </c>
      <c r="G146" s="53" t="str">
        <f>IFERROR(__xludf.DUMMYFUNCTION("""COMPUTED_VALUE"""),"Korean")</f>
        <v>Korean</v>
      </c>
      <c r="H146" s="54">
        <f>IFERROR(__xludf.DUMMYFUNCTION("""COMPUTED_VALUE"""),1016.0)</f>
        <v>1016</v>
      </c>
      <c r="I146" s="53" t="str">
        <f>IFERROR(__xludf.DUMMYFUNCTION("""COMPUTED_VALUE"""),"000329")</f>
        <v>000329</v>
      </c>
      <c r="J146" s="53" t="str">
        <f>IFERROR(__xludf.DUMMYFUNCTION("""COMPUTED_VALUE"""),"24-25")</f>
        <v>24-25</v>
      </c>
    </row>
    <row r="147">
      <c r="A147" s="53" t="str">
        <f>IFERROR(__xludf.DUMMYFUNCTION("""COMPUTED_VALUE"""),"7610469851")</f>
        <v>7610469851</v>
      </c>
      <c r="B147" s="53" t="str">
        <f>IFERROR(__xludf.DUMMYFUNCTION("""COMPUTED_VALUE"""),"MacKinnon Eagan")</f>
        <v>MacKinnon Eagan</v>
      </c>
      <c r="C147" s="53" t="str">
        <f>IFERROR(__xludf.DUMMYFUNCTION("""COMPUTED_VALUE"""),"Xylo")</f>
        <v>Xylo</v>
      </c>
      <c r="D147" s="54">
        <f>IFERROR(__xludf.DUMMYFUNCTION("""COMPUTED_VALUE"""),7.0)</f>
        <v>7</v>
      </c>
      <c r="E147" s="53" t="str">
        <f>IFERROR(__xludf.DUMMYFUNCTION("""COMPUTED_VALUE"""),"M")</f>
        <v>M</v>
      </c>
      <c r="F147" s="53" t="str">
        <f>IFERROR(__xludf.DUMMYFUNCTION("""COMPUTED_VALUE"""),"No, not Hispanic or Latino")</f>
        <v>No, not Hispanic or Latino</v>
      </c>
      <c r="G147" s="53" t="str">
        <f>IFERROR(__xludf.DUMMYFUNCTION("""COMPUTED_VALUE"""),"White")</f>
        <v>White</v>
      </c>
      <c r="H147" s="54">
        <f>IFERROR(__xludf.DUMMYFUNCTION("""COMPUTED_VALUE"""),1144.0)</f>
        <v>1144</v>
      </c>
      <c r="I147" s="53" t="str">
        <f>IFERROR(__xludf.DUMMYFUNCTION("""COMPUTED_VALUE"""),"000325")</f>
        <v>000325</v>
      </c>
      <c r="J147" s="53" t="str">
        <f>IFERROR(__xludf.DUMMYFUNCTION("""COMPUTED_VALUE"""),"24-25")</f>
        <v>24-25</v>
      </c>
    </row>
    <row r="148">
      <c r="A148" s="53" t="str">
        <f>IFERROR(__xludf.DUMMYFUNCTION("""COMPUTED_VALUE"""),"5443018806")</f>
        <v>5443018806</v>
      </c>
      <c r="B148" s="53" t="str">
        <f>IFERROR(__xludf.DUMMYFUNCTION("""COMPUTED_VALUE"""),"Marsh")</f>
        <v>Marsh</v>
      </c>
      <c r="C148" s="53" t="str">
        <f>IFERROR(__xludf.DUMMYFUNCTION("""COMPUTED_VALUE"""),"Anais")</f>
        <v>Anais</v>
      </c>
      <c r="D148" s="54">
        <f>IFERROR(__xludf.DUMMYFUNCTION("""COMPUTED_VALUE"""),7.0)</f>
        <v>7</v>
      </c>
      <c r="E148" s="53" t="str">
        <f>IFERROR(__xludf.DUMMYFUNCTION("""COMPUTED_VALUE"""),"F")</f>
        <v>F</v>
      </c>
      <c r="F148" s="53" t="str">
        <f>IFERROR(__xludf.DUMMYFUNCTION("""COMPUTED_VALUE"""),"No, not Hispanic or Latino")</f>
        <v>No, not Hispanic or Latino</v>
      </c>
      <c r="G148" s="53" t="str">
        <f>IFERROR(__xludf.DUMMYFUNCTION("""COMPUTED_VALUE"""),"White")</f>
        <v>White</v>
      </c>
      <c r="H148" s="54">
        <f>IFERROR(__xludf.DUMMYFUNCTION("""COMPUTED_VALUE"""),1016.0)</f>
        <v>1016</v>
      </c>
      <c r="I148" s="53" t="str">
        <f>IFERROR(__xludf.DUMMYFUNCTION("""COMPUTED_VALUE"""),"000329")</f>
        <v>000329</v>
      </c>
      <c r="J148" s="53" t="str">
        <f>IFERROR(__xludf.DUMMYFUNCTION("""COMPUTED_VALUE"""),"24-25")</f>
        <v>24-25</v>
      </c>
    </row>
    <row r="149">
      <c r="A149" s="53" t="str">
        <f>IFERROR(__xludf.DUMMYFUNCTION("""COMPUTED_VALUE"""),"3398716721")</f>
        <v>3398716721</v>
      </c>
      <c r="B149" s="53" t="str">
        <f>IFERROR(__xludf.DUMMYFUNCTION("""COMPUTED_VALUE"""),"Mayers")</f>
        <v>Mayers</v>
      </c>
      <c r="C149" s="53" t="str">
        <f>IFERROR(__xludf.DUMMYFUNCTION("""COMPUTED_VALUE"""),"Molly")</f>
        <v>Molly</v>
      </c>
      <c r="D149" s="54">
        <f>IFERROR(__xludf.DUMMYFUNCTION("""COMPUTED_VALUE"""),7.0)</f>
        <v>7</v>
      </c>
      <c r="E149" s="53" t="str">
        <f>IFERROR(__xludf.DUMMYFUNCTION("""COMPUTED_VALUE"""),"F")</f>
        <v>F</v>
      </c>
      <c r="F149" s="53" t="str">
        <f>IFERROR(__xludf.DUMMYFUNCTION("""COMPUTED_VALUE"""),"No, not Hispanic or Latino")</f>
        <v>No, not Hispanic or Latino</v>
      </c>
      <c r="G149" s="53" t="str">
        <f>IFERROR(__xludf.DUMMYFUNCTION("""COMPUTED_VALUE"""),"White")</f>
        <v>White</v>
      </c>
      <c r="H149" s="54">
        <f>IFERROR(__xludf.DUMMYFUNCTION("""COMPUTED_VALUE"""),1016.0)</f>
        <v>1016</v>
      </c>
      <c r="I149" s="53" t="str">
        <f>IFERROR(__xludf.DUMMYFUNCTION("""COMPUTED_VALUE"""),"000329")</f>
        <v>000329</v>
      </c>
      <c r="J149" s="53" t="str">
        <f>IFERROR(__xludf.DUMMYFUNCTION("""COMPUTED_VALUE"""),"24-25")</f>
        <v>24-25</v>
      </c>
    </row>
    <row r="150">
      <c r="A150" s="53" t="str">
        <f>IFERROR(__xludf.DUMMYFUNCTION("""COMPUTED_VALUE"""),"8348647645")</f>
        <v>8348647645</v>
      </c>
      <c r="B150" s="53" t="str">
        <f>IFERROR(__xludf.DUMMYFUNCTION("""COMPUTED_VALUE"""),"McEldowney")</f>
        <v>McEldowney</v>
      </c>
      <c r="C150" s="53" t="str">
        <f>IFERROR(__xludf.DUMMYFUNCTION("""COMPUTED_VALUE"""),"Finn")</f>
        <v>Finn</v>
      </c>
      <c r="D150" s="54">
        <f>IFERROR(__xludf.DUMMYFUNCTION("""COMPUTED_VALUE"""),7.0)</f>
        <v>7</v>
      </c>
      <c r="E150" s="53" t="str">
        <f>IFERROR(__xludf.DUMMYFUNCTION("""COMPUTED_VALUE"""),"M")</f>
        <v>M</v>
      </c>
      <c r="F150" s="53" t="str">
        <f>IFERROR(__xludf.DUMMYFUNCTION("""COMPUTED_VALUE"""),"No, not Hispanic or Latino")</f>
        <v>No, not Hispanic or Latino</v>
      </c>
      <c r="G150" s="53" t="str">
        <f>IFERROR(__xludf.DUMMYFUNCTION("""COMPUTED_VALUE"""),"White")</f>
        <v>White</v>
      </c>
      <c r="H150" s="54">
        <f>IFERROR(__xludf.DUMMYFUNCTION("""COMPUTED_VALUE"""),1016.0)</f>
        <v>1016</v>
      </c>
      <c r="I150" s="53" t="str">
        <f>IFERROR(__xludf.DUMMYFUNCTION("""COMPUTED_VALUE"""),"000329")</f>
        <v>000329</v>
      </c>
      <c r="J150" s="53" t="str">
        <f>IFERROR(__xludf.DUMMYFUNCTION("""COMPUTED_VALUE"""),"24-25")</f>
        <v>24-25</v>
      </c>
    </row>
    <row r="151">
      <c r="A151" s="53" t="str">
        <f>IFERROR(__xludf.DUMMYFUNCTION("""COMPUTED_VALUE"""),"6191168218")</f>
        <v>6191168218</v>
      </c>
      <c r="B151" s="53" t="str">
        <f>IFERROR(__xludf.DUMMYFUNCTION("""COMPUTED_VALUE"""),"Michael Hegwer")</f>
        <v>Michael Hegwer</v>
      </c>
      <c r="C151" s="53" t="str">
        <f>IFERROR(__xludf.DUMMYFUNCTION("""COMPUTED_VALUE"""),"Samuel")</f>
        <v>Samuel</v>
      </c>
      <c r="D151" s="54">
        <f>IFERROR(__xludf.DUMMYFUNCTION("""COMPUTED_VALUE"""),7.0)</f>
        <v>7</v>
      </c>
      <c r="E151" s="53" t="str">
        <f>IFERROR(__xludf.DUMMYFUNCTION("""COMPUTED_VALUE"""),"M")</f>
        <v>M</v>
      </c>
      <c r="F151" s="53" t="str">
        <f>IFERROR(__xludf.DUMMYFUNCTION("""COMPUTED_VALUE"""),"No, not Hispanic or Latino")</f>
        <v>No, not Hispanic or Latino</v>
      </c>
      <c r="G151" s="53" t="str">
        <f>IFERROR(__xludf.DUMMYFUNCTION("""COMPUTED_VALUE"""),"White")</f>
        <v>White</v>
      </c>
      <c r="H151" s="54">
        <f>IFERROR(__xludf.DUMMYFUNCTION("""COMPUTED_VALUE"""),1016.0)</f>
        <v>1016</v>
      </c>
      <c r="I151" s="53" t="str">
        <f>IFERROR(__xludf.DUMMYFUNCTION("""COMPUTED_VALUE"""),"000329")</f>
        <v>000329</v>
      </c>
      <c r="J151" s="53" t="str">
        <f>IFERROR(__xludf.DUMMYFUNCTION("""COMPUTED_VALUE"""),"24-25")</f>
        <v>24-25</v>
      </c>
    </row>
    <row r="152">
      <c r="A152" s="53" t="str">
        <f>IFERROR(__xludf.DUMMYFUNCTION("""COMPUTED_VALUE"""),"7570616534")</f>
        <v>7570616534</v>
      </c>
      <c r="B152" s="53" t="str">
        <f>IFERROR(__xludf.DUMMYFUNCTION("""COMPUTED_VALUE"""),"Million")</f>
        <v>Million</v>
      </c>
      <c r="C152" s="53" t="str">
        <f>IFERROR(__xludf.DUMMYFUNCTION("""COMPUTED_VALUE"""),"Max")</f>
        <v>Max</v>
      </c>
      <c r="D152" s="54">
        <f>IFERROR(__xludf.DUMMYFUNCTION("""COMPUTED_VALUE"""),7.0)</f>
        <v>7</v>
      </c>
      <c r="E152" s="53" t="str">
        <f>IFERROR(__xludf.DUMMYFUNCTION("""COMPUTED_VALUE"""),"M")</f>
        <v>M</v>
      </c>
      <c r="F152" s="53" t="str">
        <f>IFERROR(__xludf.DUMMYFUNCTION("""COMPUTED_VALUE"""),"No, not Hispanic or Latino")</f>
        <v>No, not Hispanic or Latino</v>
      </c>
      <c r="G152" s="53" t="str">
        <f>IFERROR(__xludf.DUMMYFUNCTION("""COMPUTED_VALUE"""),"White")</f>
        <v>White</v>
      </c>
      <c r="H152" s="54">
        <f>IFERROR(__xludf.DUMMYFUNCTION("""COMPUTED_VALUE"""),1140.0)</f>
        <v>1140</v>
      </c>
      <c r="I152" s="53" t="str">
        <f>IFERROR(__xludf.DUMMYFUNCTION("""COMPUTED_VALUE"""),"000325")</f>
        <v>000325</v>
      </c>
      <c r="J152" s="53" t="str">
        <f>IFERROR(__xludf.DUMMYFUNCTION("""COMPUTED_VALUE"""),"24-25")</f>
        <v>24-25</v>
      </c>
    </row>
    <row r="153">
      <c r="A153" s="53" t="str">
        <f>IFERROR(__xludf.DUMMYFUNCTION("""COMPUTED_VALUE"""),"4233857848")</f>
        <v>4233857848</v>
      </c>
      <c r="B153" s="53" t="str">
        <f>IFERROR(__xludf.DUMMYFUNCTION("""COMPUTED_VALUE"""),"Molloy")</f>
        <v>Molloy</v>
      </c>
      <c r="C153" s="53" t="str">
        <f>IFERROR(__xludf.DUMMYFUNCTION("""COMPUTED_VALUE"""),"Ava")</f>
        <v>Ava</v>
      </c>
      <c r="D153" s="54">
        <f>IFERROR(__xludf.DUMMYFUNCTION("""COMPUTED_VALUE"""),7.0)</f>
        <v>7</v>
      </c>
      <c r="E153" s="53" t="str">
        <f>IFERROR(__xludf.DUMMYFUNCTION("""COMPUTED_VALUE"""),"F")</f>
        <v>F</v>
      </c>
      <c r="F153" s="53" t="str">
        <f>IFERROR(__xludf.DUMMYFUNCTION("""COMPUTED_VALUE"""),"No, not Hispanic or Latino")</f>
        <v>No, not Hispanic or Latino</v>
      </c>
      <c r="G153" s="53" t="str">
        <f>IFERROR(__xludf.DUMMYFUNCTION("""COMPUTED_VALUE"""),"Samoan")</f>
        <v>Samoan</v>
      </c>
      <c r="H153" s="54">
        <f>IFERROR(__xludf.DUMMYFUNCTION("""COMPUTED_VALUE"""),1145.0)</f>
        <v>1145</v>
      </c>
      <c r="I153" s="53" t="str">
        <f>IFERROR(__xludf.DUMMYFUNCTION("""COMPUTED_VALUE"""),"000325")</f>
        <v>000325</v>
      </c>
      <c r="J153" s="53" t="str">
        <f>IFERROR(__xludf.DUMMYFUNCTION("""COMPUTED_VALUE"""),"24-25")</f>
        <v>24-25</v>
      </c>
    </row>
    <row r="154">
      <c r="A154" s="53" t="str">
        <f>IFERROR(__xludf.DUMMYFUNCTION("""COMPUTED_VALUE"""),"5223278867")</f>
        <v>5223278867</v>
      </c>
      <c r="B154" s="53" t="str">
        <f>IFERROR(__xludf.DUMMYFUNCTION("""COMPUTED_VALUE"""),"Mullen")</f>
        <v>Mullen</v>
      </c>
      <c r="C154" s="53" t="str">
        <f>IFERROR(__xludf.DUMMYFUNCTION("""COMPUTED_VALUE"""),"Callum")</f>
        <v>Callum</v>
      </c>
      <c r="D154" s="54">
        <f>IFERROR(__xludf.DUMMYFUNCTION("""COMPUTED_VALUE"""),7.0)</f>
        <v>7</v>
      </c>
      <c r="E154" s="53" t="str">
        <f>IFERROR(__xludf.DUMMYFUNCTION("""COMPUTED_VALUE"""),"M")</f>
        <v>M</v>
      </c>
      <c r="F154" s="53" t="str">
        <f>IFERROR(__xludf.DUMMYFUNCTION("""COMPUTED_VALUE"""),"No, not Hispanic or Latino")</f>
        <v>No, not Hispanic or Latino</v>
      </c>
      <c r="G154" s="53" t="str">
        <f>IFERROR(__xludf.DUMMYFUNCTION("""COMPUTED_VALUE"""),"White")</f>
        <v>White</v>
      </c>
      <c r="H154" s="54">
        <f>IFERROR(__xludf.DUMMYFUNCTION("""COMPUTED_VALUE"""),1016.0)</f>
        <v>1016</v>
      </c>
      <c r="I154" s="53" t="str">
        <f>IFERROR(__xludf.DUMMYFUNCTION("""COMPUTED_VALUE"""),"000329")</f>
        <v>000329</v>
      </c>
      <c r="J154" s="53" t="str">
        <f>IFERROR(__xludf.DUMMYFUNCTION("""COMPUTED_VALUE"""),"24-25")</f>
        <v>24-25</v>
      </c>
    </row>
    <row r="155">
      <c r="A155" s="53" t="str">
        <f>IFERROR(__xludf.DUMMYFUNCTION("""COMPUTED_VALUE"""),"5097068853")</f>
        <v>5097068853</v>
      </c>
      <c r="B155" s="53" t="str">
        <f>IFERROR(__xludf.DUMMYFUNCTION("""COMPUTED_VALUE"""),"Palomino")</f>
        <v>Palomino</v>
      </c>
      <c r="C155" s="53" t="str">
        <f>IFERROR(__xludf.DUMMYFUNCTION("""COMPUTED_VALUE"""),"Ava")</f>
        <v>Ava</v>
      </c>
      <c r="D155" s="54">
        <f>IFERROR(__xludf.DUMMYFUNCTION("""COMPUTED_VALUE"""),7.0)</f>
        <v>7</v>
      </c>
      <c r="E155" s="53" t="str">
        <f>IFERROR(__xludf.DUMMYFUNCTION("""COMPUTED_VALUE"""),"F")</f>
        <v>F</v>
      </c>
      <c r="F155" s="53" t="str">
        <f>IFERROR(__xludf.DUMMYFUNCTION("""COMPUTED_VALUE"""),"No, not Hispanic or Latino")</f>
        <v>No, not Hispanic or Latino</v>
      </c>
      <c r="G155" s="53" t="str">
        <f>IFERROR(__xludf.DUMMYFUNCTION("""COMPUTED_VALUE"""),"White")</f>
        <v>White</v>
      </c>
      <c r="H155" s="54">
        <f>IFERROR(__xludf.DUMMYFUNCTION("""COMPUTED_VALUE"""),1140.0)</f>
        <v>1140</v>
      </c>
      <c r="I155" s="53" t="str">
        <f>IFERROR(__xludf.DUMMYFUNCTION("""COMPUTED_VALUE"""),"000325")</f>
        <v>000325</v>
      </c>
      <c r="J155" s="53" t="str">
        <f>IFERROR(__xludf.DUMMYFUNCTION("""COMPUTED_VALUE"""),"24-25")</f>
        <v>24-25</v>
      </c>
    </row>
    <row r="156">
      <c r="A156" s="53" t="str">
        <f>IFERROR(__xludf.DUMMYFUNCTION("""COMPUTED_VALUE"""),"5686477402")</f>
        <v>5686477402</v>
      </c>
      <c r="B156" s="53" t="str">
        <f>IFERROR(__xludf.DUMMYFUNCTION("""COMPUTED_VALUE"""),"Purvis")</f>
        <v>Purvis</v>
      </c>
      <c r="C156" s="53" t="str">
        <f>IFERROR(__xludf.DUMMYFUNCTION("""COMPUTED_VALUE"""),"Charlie")</f>
        <v>Charlie</v>
      </c>
      <c r="D156" s="54">
        <f>IFERROR(__xludf.DUMMYFUNCTION("""COMPUTED_VALUE"""),7.0)</f>
        <v>7</v>
      </c>
      <c r="E156" s="53" t="str">
        <f>IFERROR(__xludf.DUMMYFUNCTION("""COMPUTED_VALUE"""),"M")</f>
        <v>M</v>
      </c>
      <c r="F156" s="53" t="str">
        <f>IFERROR(__xludf.DUMMYFUNCTION("""COMPUTED_VALUE"""),"No, not Hispanic or Latino")</f>
        <v>No, not Hispanic or Latino</v>
      </c>
      <c r="G156" s="53" t="str">
        <f>IFERROR(__xludf.DUMMYFUNCTION("""COMPUTED_VALUE"""),"White")</f>
        <v>White</v>
      </c>
      <c r="H156" s="54">
        <f>IFERROR(__xludf.DUMMYFUNCTION("""COMPUTED_VALUE"""),1016.0)</f>
        <v>1016</v>
      </c>
      <c r="I156" s="53" t="str">
        <f>IFERROR(__xludf.DUMMYFUNCTION("""COMPUTED_VALUE"""),"000329")</f>
        <v>000329</v>
      </c>
      <c r="J156" s="53" t="str">
        <f>IFERROR(__xludf.DUMMYFUNCTION("""COMPUTED_VALUE"""),"24-25")</f>
        <v>24-25</v>
      </c>
    </row>
    <row r="157">
      <c r="A157" s="53" t="str">
        <f>IFERROR(__xludf.DUMMYFUNCTION("""COMPUTED_VALUE"""),"5461090378")</f>
        <v>5461090378</v>
      </c>
      <c r="B157" s="53" t="str">
        <f>IFERROR(__xludf.DUMMYFUNCTION("""COMPUTED_VALUE"""),"Rajagopal")</f>
        <v>Rajagopal</v>
      </c>
      <c r="C157" s="53" t="str">
        <f>IFERROR(__xludf.DUMMYFUNCTION("""COMPUTED_VALUE"""),"Asha")</f>
        <v>Asha</v>
      </c>
      <c r="D157" s="54">
        <f>IFERROR(__xludf.DUMMYFUNCTION("""COMPUTED_VALUE"""),7.0)</f>
        <v>7</v>
      </c>
      <c r="E157" s="53" t="str">
        <f>IFERROR(__xludf.DUMMYFUNCTION("""COMPUTED_VALUE"""),"F")</f>
        <v>F</v>
      </c>
      <c r="F157" s="53" t="str">
        <f>IFERROR(__xludf.DUMMYFUNCTION("""COMPUTED_VALUE"""),"No, not Hispanic or Latino")</f>
        <v>No, not Hispanic or Latino</v>
      </c>
      <c r="G157" s="53" t="str">
        <f>IFERROR(__xludf.DUMMYFUNCTION("""COMPUTED_VALUE"""),"White")</f>
        <v>White</v>
      </c>
      <c r="H157" s="54">
        <f>IFERROR(__xludf.DUMMYFUNCTION("""COMPUTED_VALUE"""),1016.0)</f>
        <v>1016</v>
      </c>
      <c r="I157" s="53" t="str">
        <f>IFERROR(__xludf.DUMMYFUNCTION("""COMPUTED_VALUE"""),"000329")</f>
        <v>000329</v>
      </c>
      <c r="J157" s="53" t="str">
        <f>IFERROR(__xludf.DUMMYFUNCTION("""COMPUTED_VALUE"""),"24-25")</f>
        <v>24-25</v>
      </c>
    </row>
    <row r="158">
      <c r="A158" s="53" t="str">
        <f>IFERROR(__xludf.DUMMYFUNCTION("""COMPUTED_VALUE"""),"6057701403")</f>
        <v>6057701403</v>
      </c>
      <c r="B158" s="53" t="str">
        <f>IFERROR(__xludf.DUMMYFUNCTION("""COMPUTED_VALUE"""),"Schafer")</f>
        <v>Schafer</v>
      </c>
      <c r="C158" s="53" t="str">
        <f>IFERROR(__xludf.DUMMYFUNCTION("""COMPUTED_VALUE"""),"Mika")</f>
        <v>Mika</v>
      </c>
      <c r="D158" s="54">
        <f>IFERROR(__xludf.DUMMYFUNCTION("""COMPUTED_VALUE"""),7.0)</f>
        <v>7</v>
      </c>
      <c r="E158" s="53" t="str">
        <f>IFERROR(__xludf.DUMMYFUNCTION("""COMPUTED_VALUE"""),"F")</f>
        <v>F</v>
      </c>
      <c r="F158" s="53" t="str">
        <f>IFERROR(__xludf.DUMMYFUNCTION("""COMPUTED_VALUE"""),"No, not Hispanic or Latino")</f>
        <v>No, not Hispanic or Latino</v>
      </c>
      <c r="G158" s="53" t="str">
        <f>IFERROR(__xludf.DUMMYFUNCTION("""COMPUTED_VALUE"""),"Vietnamese")</f>
        <v>Vietnamese</v>
      </c>
      <c r="H158" s="54">
        <f>IFERROR(__xludf.DUMMYFUNCTION("""COMPUTED_VALUE"""),1141.0)</f>
        <v>1141</v>
      </c>
      <c r="I158" s="53" t="str">
        <f>IFERROR(__xludf.DUMMYFUNCTION("""COMPUTED_VALUE"""),"000325")</f>
        <v>000325</v>
      </c>
      <c r="J158" s="53" t="str">
        <f>IFERROR(__xludf.DUMMYFUNCTION("""COMPUTED_VALUE"""),"24-25")</f>
        <v>24-25</v>
      </c>
    </row>
    <row r="159">
      <c r="A159" s="53" t="str">
        <f>IFERROR(__xludf.DUMMYFUNCTION("""COMPUTED_VALUE"""),"2216471591")</f>
        <v>2216471591</v>
      </c>
      <c r="B159" s="53" t="str">
        <f>IFERROR(__xludf.DUMMYFUNCTION("""COMPUTED_VALUE"""),"Schmidt")</f>
        <v>Schmidt</v>
      </c>
      <c r="C159" s="53" t="str">
        <f>IFERROR(__xludf.DUMMYFUNCTION("""COMPUTED_VALUE"""),"Justin")</f>
        <v>Justin</v>
      </c>
      <c r="D159" s="54">
        <f>IFERROR(__xludf.DUMMYFUNCTION("""COMPUTED_VALUE"""),7.0)</f>
        <v>7</v>
      </c>
      <c r="E159" s="53" t="str">
        <f>IFERROR(__xludf.DUMMYFUNCTION("""COMPUTED_VALUE"""),"M")</f>
        <v>M</v>
      </c>
      <c r="F159" s="53" t="str">
        <f>IFERROR(__xludf.DUMMYFUNCTION("""COMPUTED_VALUE"""),"No, not Hispanic or Latino")</f>
        <v>No, not Hispanic or Latino</v>
      </c>
      <c r="G159" s="53" t="str">
        <f>IFERROR(__xludf.DUMMYFUNCTION("""COMPUTED_VALUE"""),"White")</f>
        <v>White</v>
      </c>
      <c r="H159" s="54">
        <f>IFERROR(__xludf.DUMMYFUNCTION("""COMPUTED_VALUE"""),1145.0)</f>
        <v>1145</v>
      </c>
      <c r="I159" s="53" t="str">
        <f>IFERROR(__xludf.DUMMYFUNCTION("""COMPUTED_VALUE"""),"000325")</f>
        <v>000325</v>
      </c>
      <c r="J159" s="53" t="str">
        <f>IFERROR(__xludf.DUMMYFUNCTION("""COMPUTED_VALUE"""),"24-25")</f>
        <v>24-25</v>
      </c>
    </row>
    <row r="160">
      <c r="A160" s="53" t="str">
        <f>IFERROR(__xludf.DUMMYFUNCTION("""COMPUTED_VALUE"""),"6537360745")</f>
        <v>6537360745</v>
      </c>
      <c r="B160" s="53" t="str">
        <f>IFERROR(__xludf.DUMMYFUNCTION("""COMPUTED_VALUE"""),"Sepan")</f>
        <v>Sepan</v>
      </c>
      <c r="C160" s="53" t="str">
        <f>IFERROR(__xludf.DUMMYFUNCTION("""COMPUTED_VALUE"""),"Seda")</f>
        <v>Seda</v>
      </c>
      <c r="D160" s="54">
        <f>IFERROR(__xludf.DUMMYFUNCTION("""COMPUTED_VALUE"""),7.0)</f>
        <v>7</v>
      </c>
      <c r="E160" s="53" t="str">
        <f>IFERROR(__xludf.DUMMYFUNCTION("""COMPUTED_VALUE"""),"F")</f>
        <v>F</v>
      </c>
      <c r="F160" s="53" t="str">
        <f>IFERROR(__xludf.DUMMYFUNCTION("""COMPUTED_VALUE"""),"No, not Hispanic or Latino")</f>
        <v>No, not Hispanic or Latino</v>
      </c>
      <c r="G160" s="53" t="str">
        <f>IFERROR(__xludf.DUMMYFUNCTION("""COMPUTED_VALUE"""),"White")</f>
        <v>White</v>
      </c>
      <c r="H160" s="54">
        <f>IFERROR(__xludf.DUMMYFUNCTION("""COMPUTED_VALUE"""),1016.0)</f>
        <v>1016</v>
      </c>
      <c r="I160" s="53" t="str">
        <f>IFERROR(__xludf.DUMMYFUNCTION("""COMPUTED_VALUE"""),"000329")</f>
        <v>000329</v>
      </c>
      <c r="J160" s="53" t="str">
        <f>IFERROR(__xludf.DUMMYFUNCTION("""COMPUTED_VALUE"""),"24-25")</f>
        <v>24-25</v>
      </c>
    </row>
    <row r="161">
      <c r="A161" s="53" t="str">
        <f>IFERROR(__xludf.DUMMYFUNCTION("""COMPUTED_VALUE"""),"1963774620")</f>
        <v>1963774620</v>
      </c>
      <c r="B161" s="53" t="str">
        <f>IFERROR(__xludf.DUMMYFUNCTION("""COMPUTED_VALUE"""),"Shelston")</f>
        <v>Shelston</v>
      </c>
      <c r="C161" s="53" t="str">
        <f>IFERROR(__xludf.DUMMYFUNCTION("""COMPUTED_VALUE"""),"Brooke")</f>
        <v>Brooke</v>
      </c>
      <c r="D161" s="54">
        <f>IFERROR(__xludf.DUMMYFUNCTION("""COMPUTED_VALUE"""),7.0)</f>
        <v>7</v>
      </c>
      <c r="E161" s="53" t="str">
        <f>IFERROR(__xludf.DUMMYFUNCTION("""COMPUTED_VALUE"""),"F")</f>
        <v>F</v>
      </c>
      <c r="F161" s="53" t="str">
        <f>IFERROR(__xludf.DUMMYFUNCTION("""COMPUTED_VALUE"""),"No, not Hispanic or Latino")</f>
        <v>No, not Hispanic or Latino</v>
      </c>
      <c r="G161" s="53" t="str">
        <f>IFERROR(__xludf.DUMMYFUNCTION("""COMPUTED_VALUE"""),"White")</f>
        <v>White</v>
      </c>
      <c r="H161" s="54">
        <f>IFERROR(__xludf.DUMMYFUNCTION("""COMPUTED_VALUE"""),1016.0)</f>
        <v>1016</v>
      </c>
      <c r="I161" s="53" t="str">
        <f>IFERROR(__xludf.DUMMYFUNCTION("""COMPUTED_VALUE"""),"000329")</f>
        <v>000329</v>
      </c>
      <c r="J161" s="53" t="str">
        <f>IFERROR(__xludf.DUMMYFUNCTION("""COMPUTED_VALUE"""),"24-25")</f>
        <v>24-25</v>
      </c>
    </row>
    <row r="162">
      <c r="A162" s="53" t="str">
        <f>IFERROR(__xludf.DUMMYFUNCTION("""COMPUTED_VALUE"""),"6774093887")</f>
        <v>6774093887</v>
      </c>
      <c r="B162" s="53" t="str">
        <f>IFERROR(__xludf.DUMMYFUNCTION("""COMPUTED_VALUE"""),"Sims")</f>
        <v>Sims</v>
      </c>
      <c r="C162" s="53" t="str">
        <f>IFERROR(__xludf.DUMMYFUNCTION("""COMPUTED_VALUE"""),"Cole")</f>
        <v>Cole</v>
      </c>
      <c r="D162" s="54">
        <f>IFERROR(__xludf.DUMMYFUNCTION("""COMPUTED_VALUE"""),7.0)</f>
        <v>7</v>
      </c>
      <c r="E162" s="53" t="str">
        <f>IFERROR(__xludf.DUMMYFUNCTION("""COMPUTED_VALUE"""),"M")</f>
        <v>M</v>
      </c>
      <c r="F162" s="53" t="str">
        <f>IFERROR(__xludf.DUMMYFUNCTION("""COMPUTED_VALUE"""),"No, not Hispanic or Latino")</f>
        <v>No, not Hispanic or Latino</v>
      </c>
      <c r="G162" s="53" t="str">
        <f>IFERROR(__xludf.DUMMYFUNCTION("""COMPUTED_VALUE"""),"White")</f>
        <v>White</v>
      </c>
      <c r="H162" s="54">
        <f>IFERROR(__xludf.DUMMYFUNCTION("""COMPUTED_VALUE"""),1016.0)</f>
        <v>1016</v>
      </c>
      <c r="I162" s="53" t="str">
        <f>IFERROR(__xludf.DUMMYFUNCTION("""COMPUTED_VALUE"""),"000329")</f>
        <v>000329</v>
      </c>
      <c r="J162" s="53" t="str">
        <f>IFERROR(__xludf.DUMMYFUNCTION("""COMPUTED_VALUE"""),"24-25")</f>
        <v>24-25</v>
      </c>
    </row>
    <row r="163">
      <c r="A163" s="53" t="str">
        <f>IFERROR(__xludf.DUMMYFUNCTION("""COMPUTED_VALUE"""),"8120820183")</f>
        <v>8120820183</v>
      </c>
      <c r="B163" s="53" t="str">
        <f>IFERROR(__xludf.DUMMYFUNCTION("""COMPUTED_VALUE"""),"Smith")</f>
        <v>Smith</v>
      </c>
      <c r="C163" s="53" t="str">
        <f>IFERROR(__xludf.DUMMYFUNCTION("""COMPUTED_VALUE"""),"Elora")</f>
        <v>Elora</v>
      </c>
      <c r="D163" s="54">
        <f>IFERROR(__xludf.DUMMYFUNCTION("""COMPUTED_VALUE"""),7.0)</f>
        <v>7</v>
      </c>
      <c r="E163" s="53" t="str">
        <f>IFERROR(__xludf.DUMMYFUNCTION("""COMPUTED_VALUE"""),"F")</f>
        <v>F</v>
      </c>
      <c r="F163" s="53" t="str">
        <f>IFERROR(__xludf.DUMMYFUNCTION("""COMPUTED_VALUE"""),"No, not Hispanic or Latino")</f>
        <v>No, not Hispanic or Latino</v>
      </c>
      <c r="G163" s="53" t="str">
        <f>IFERROR(__xludf.DUMMYFUNCTION("""COMPUTED_VALUE"""),"White")</f>
        <v>White</v>
      </c>
      <c r="H163" s="54">
        <f>IFERROR(__xludf.DUMMYFUNCTION("""COMPUTED_VALUE"""),1016.0)</f>
        <v>1016</v>
      </c>
      <c r="I163" s="53" t="str">
        <f>IFERROR(__xludf.DUMMYFUNCTION("""COMPUTED_VALUE"""),"000329")</f>
        <v>000329</v>
      </c>
      <c r="J163" s="53" t="str">
        <f>IFERROR(__xludf.DUMMYFUNCTION("""COMPUTED_VALUE"""),"24-25")</f>
        <v>24-25</v>
      </c>
    </row>
    <row r="164">
      <c r="A164" s="53" t="str">
        <f>IFERROR(__xludf.DUMMYFUNCTION("""COMPUTED_VALUE"""),"9311910884")</f>
        <v>9311910884</v>
      </c>
      <c r="B164" s="53" t="str">
        <f>IFERROR(__xludf.DUMMYFUNCTION("""COMPUTED_VALUE"""),"Stein")</f>
        <v>Stein</v>
      </c>
      <c r="C164" s="53" t="str">
        <f>IFERROR(__xludf.DUMMYFUNCTION("""COMPUTED_VALUE"""),"Gabe")</f>
        <v>Gabe</v>
      </c>
      <c r="D164" s="54">
        <f>IFERROR(__xludf.DUMMYFUNCTION("""COMPUTED_VALUE"""),7.0)</f>
        <v>7</v>
      </c>
      <c r="E164" s="53" t="str">
        <f>IFERROR(__xludf.DUMMYFUNCTION("""COMPUTED_VALUE"""),"M")</f>
        <v>M</v>
      </c>
      <c r="F164" s="53" t="str">
        <f>IFERROR(__xludf.DUMMYFUNCTION("""COMPUTED_VALUE"""),"No, not Hispanic or Latino")</f>
        <v>No, not Hispanic or Latino</v>
      </c>
      <c r="G164" s="53" t="str">
        <f>IFERROR(__xludf.DUMMYFUNCTION("""COMPUTED_VALUE"""),"Vietnamese")</f>
        <v>Vietnamese</v>
      </c>
      <c r="H164" s="54">
        <f>IFERROR(__xludf.DUMMYFUNCTION("""COMPUTED_VALUE"""),1016.0)</f>
        <v>1016</v>
      </c>
      <c r="I164" s="53" t="str">
        <f>IFERROR(__xludf.DUMMYFUNCTION("""COMPUTED_VALUE"""),"000329")</f>
        <v>000329</v>
      </c>
      <c r="J164" s="53" t="str">
        <f>IFERROR(__xludf.DUMMYFUNCTION("""COMPUTED_VALUE"""),"24-25")</f>
        <v>24-25</v>
      </c>
    </row>
    <row r="165">
      <c r="A165" s="53" t="str">
        <f>IFERROR(__xludf.DUMMYFUNCTION("""COMPUTED_VALUE"""),"6359416637")</f>
        <v>6359416637</v>
      </c>
      <c r="B165" s="53" t="str">
        <f>IFERROR(__xludf.DUMMYFUNCTION("""COMPUTED_VALUE"""),"Stern")</f>
        <v>Stern</v>
      </c>
      <c r="C165" s="53" t="str">
        <f>IFERROR(__xludf.DUMMYFUNCTION("""COMPUTED_VALUE"""),"Aaron")</f>
        <v>Aaron</v>
      </c>
      <c r="D165" s="54">
        <f>IFERROR(__xludf.DUMMYFUNCTION("""COMPUTED_VALUE"""),7.0)</f>
        <v>7</v>
      </c>
      <c r="E165" s="53" t="str">
        <f>IFERROR(__xludf.DUMMYFUNCTION("""COMPUTED_VALUE"""),"M")</f>
        <v>M</v>
      </c>
      <c r="F165" s="53" t="str">
        <f>IFERROR(__xludf.DUMMYFUNCTION("""COMPUTED_VALUE"""),"No, not Hispanic or Latino")</f>
        <v>No, not Hispanic or Latino</v>
      </c>
      <c r="G165" s="53" t="str">
        <f>IFERROR(__xludf.DUMMYFUNCTION("""COMPUTED_VALUE"""),"White")</f>
        <v>White</v>
      </c>
      <c r="H165" s="54">
        <f>IFERROR(__xludf.DUMMYFUNCTION("""COMPUTED_VALUE"""),1016.0)</f>
        <v>1016</v>
      </c>
      <c r="I165" s="53" t="str">
        <f>IFERROR(__xludf.DUMMYFUNCTION("""COMPUTED_VALUE"""),"000329")</f>
        <v>000329</v>
      </c>
      <c r="J165" s="53" t="str">
        <f>IFERROR(__xludf.DUMMYFUNCTION("""COMPUTED_VALUE"""),"24-25")</f>
        <v>24-25</v>
      </c>
    </row>
    <row r="166">
      <c r="A166" s="53" t="str">
        <f>IFERROR(__xludf.DUMMYFUNCTION("""COMPUTED_VALUE"""),"7192429953")</f>
        <v>7192429953</v>
      </c>
      <c r="B166" s="53" t="str">
        <f>IFERROR(__xludf.DUMMYFUNCTION("""COMPUTED_VALUE"""),"Vail")</f>
        <v>Vail</v>
      </c>
      <c r="C166" s="53" t="str">
        <f>IFERROR(__xludf.DUMMYFUNCTION("""COMPUTED_VALUE"""),"Adelaide")</f>
        <v>Adelaide</v>
      </c>
      <c r="D166" s="54">
        <f>IFERROR(__xludf.DUMMYFUNCTION("""COMPUTED_VALUE"""),7.0)</f>
        <v>7</v>
      </c>
      <c r="E166" s="53" t="str">
        <f>IFERROR(__xludf.DUMMYFUNCTION("""COMPUTED_VALUE"""),"F")</f>
        <v>F</v>
      </c>
      <c r="F166" s="53" t="str">
        <f>IFERROR(__xludf.DUMMYFUNCTION("""COMPUTED_VALUE"""),"No, not Hispanic or Latino")</f>
        <v>No, not Hispanic or Latino</v>
      </c>
      <c r="G166" s="53" t="str">
        <f>IFERROR(__xludf.DUMMYFUNCTION("""COMPUTED_VALUE"""),"White")</f>
        <v>White</v>
      </c>
      <c r="H166" s="54">
        <f>IFERROR(__xludf.DUMMYFUNCTION("""COMPUTED_VALUE"""),1016.0)</f>
        <v>1016</v>
      </c>
      <c r="I166" s="53" t="str">
        <f>IFERROR(__xludf.DUMMYFUNCTION("""COMPUTED_VALUE"""),"000329")</f>
        <v>000329</v>
      </c>
      <c r="J166" s="53" t="str">
        <f>IFERROR(__xludf.DUMMYFUNCTION("""COMPUTED_VALUE"""),"24-25")</f>
        <v>24-25</v>
      </c>
    </row>
    <row r="167">
      <c r="A167" s="53" t="str">
        <f>IFERROR(__xludf.DUMMYFUNCTION("""COMPUTED_VALUE"""),"7136618951")</f>
        <v>7136618951</v>
      </c>
      <c r="B167" s="53" t="str">
        <f>IFERROR(__xludf.DUMMYFUNCTION("""COMPUTED_VALUE"""),"Wallace")</f>
        <v>Wallace</v>
      </c>
      <c r="C167" s="53" t="str">
        <f>IFERROR(__xludf.DUMMYFUNCTION("""COMPUTED_VALUE"""),"Johannah")</f>
        <v>Johannah</v>
      </c>
      <c r="D167" s="54">
        <f>IFERROR(__xludf.DUMMYFUNCTION("""COMPUTED_VALUE"""),7.0)</f>
        <v>7</v>
      </c>
      <c r="E167" s="53" t="str">
        <f>IFERROR(__xludf.DUMMYFUNCTION("""COMPUTED_VALUE"""),"F")</f>
        <v>F</v>
      </c>
      <c r="F167" s="53" t="str">
        <f>IFERROR(__xludf.DUMMYFUNCTION("""COMPUTED_VALUE"""),"No, not Hispanic or Latino")</f>
        <v>No, not Hispanic or Latino</v>
      </c>
      <c r="G167" s="53" t="str">
        <f>IFERROR(__xludf.DUMMYFUNCTION("""COMPUTED_VALUE"""),"White")</f>
        <v>White</v>
      </c>
      <c r="H167" s="54">
        <f>IFERROR(__xludf.DUMMYFUNCTION("""COMPUTED_VALUE"""),1016.0)</f>
        <v>1016</v>
      </c>
      <c r="I167" s="53" t="str">
        <f>IFERROR(__xludf.DUMMYFUNCTION("""COMPUTED_VALUE"""),"000329")</f>
        <v>000329</v>
      </c>
      <c r="J167" s="53" t="str">
        <f>IFERROR(__xludf.DUMMYFUNCTION("""COMPUTED_VALUE"""),"24-25")</f>
        <v>24-25</v>
      </c>
    </row>
    <row r="168">
      <c r="A168" s="53" t="str">
        <f>IFERROR(__xludf.DUMMYFUNCTION("""COMPUTED_VALUE"""),"5253237360")</f>
        <v>5253237360</v>
      </c>
      <c r="B168" s="53" t="str">
        <f>IFERROR(__xludf.DUMMYFUNCTION("""COMPUTED_VALUE"""),"Walsh")</f>
        <v>Walsh</v>
      </c>
      <c r="C168" s="53" t="str">
        <f>IFERROR(__xludf.DUMMYFUNCTION("""COMPUTED_VALUE"""),"Patrick")</f>
        <v>Patrick</v>
      </c>
      <c r="D168" s="54">
        <f>IFERROR(__xludf.DUMMYFUNCTION("""COMPUTED_VALUE"""),7.0)</f>
        <v>7</v>
      </c>
      <c r="E168" s="53" t="str">
        <f>IFERROR(__xludf.DUMMYFUNCTION("""COMPUTED_VALUE"""),"M")</f>
        <v>M</v>
      </c>
      <c r="F168" s="53" t="str">
        <f>IFERROR(__xludf.DUMMYFUNCTION("""COMPUTED_VALUE"""),"No, not Hispanic or Latino")</f>
        <v>No, not Hispanic or Latino</v>
      </c>
      <c r="G168" s="53" t="str">
        <f>IFERROR(__xludf.DUMMYFUNCTION("""COMPUTED_VALUE"""),"White")</f>
        <v>White</v>
      </c>
      <c r="H168" s="54">
        <f>IFERROR(__xludf.DUMMYFUNCTION("""COMPUTED_VALUE"""),1016.0)</f>
        <v>1016</v>
      </c>
      <c r="I168" s="53" t="str">
        <f>IFERROR(__xludf.DUMMYFUNCTION("""COMPUTED_VALUE"""),"000329")</f>
        <v>000329</v>
      </c>
      <c r="J168" s="53" t="str">
        <f>IFERROR(__xludf.DUMMYFUNCTION("""COMPUTED_VALUE"""),"24-25")</f>
        <v>24-25</v>
      </c>
    </row>
    <row r="169">
      <c r="A169" s="53" t="str">
        <f>IFERROR(__xludf.DUMMYFUNCTION("""COMPUTED_VALUE"""),"6755663698")</f>
        <v>6755663698</v>
      </c>
      <c r="B169" s="53" t="str">
        <f>IFERROR(__xludf.DUMMYFUNCTION("""COMPUTED_VALUE"""),"Whitney")</f>
        <v>Whitney</v>
      </c>
      <c r="C169" s="53" t="str">
        <f>IFERROR(__xludf.DUMMYFUNCTION("""COMPUTED_VALUE"""),"Patrick")</f>
        <v>Patrick</v>
      </c>
      <c r="D169" s="54">
        <f>IFERROR(__xludf.DUMMYFUNCTION("""COMPUTED_VALUE"""),7.0)</f>
        <v>7</v>
      </c>
      <c r="E169" s="53" t="str">
        <f>IFERROR(__xludf.DUMMYFUNCTION("""COMPUTED_VALUE"""),"M")</f>
        <v>M</v>
      </c>
      <c r="F169" s="53" t="str">
        <f>IFERROR(__xludf.DUMMYFUNCTION("""COMPUTED_VALUE"""),"No, not Hispanic or Latino")</f>
        <v>No, not Hispanic or Latino</v>
      </c>
      <c r="G169" s="53" t="str">
        <f>IFERROR(__xludf.DUMMYFUNCTION("""COMPUTED_VALUE"""),"White")</f>
        <v>White</v>
      </c>
      <c r="H169" s="54">
        <f>IFERROR(__xludf.DUMMYFUNCTION("""COMPUTED_VALUE"""),1016.0)</f>
        <v>1016</v>
      </c>
      <c r="I169" s="53" t="str">
        <f>IFERROR(__xludf.DUMMYFUNCTION("""COMPUTED_VALUE"""),"000329")</f>
        <v>000329</v>
      </c>
      <c r="J169" s="53" t="str">
        <f>IFERROR(__xludf.DUMMYFUNCTION("""COMPUTED_VALUE"""),"24-25")</f>
        <v>24-25</v>
      </c>
    </row>
    <row r="170">
      <c r="A170" s="53" t="str">
        <f>IFERROR(__xludf.DUMMYFUNCTION("""COMPUTED_VALUE"""),"9051069126")</f>
        <v>9051069126</v>
      </c>
      <c r="B170" s="53" t="str">
        <f>IFERROR(__xludf.DUMMYFUNCTION("""COMPUTED_VALUE"""),"Yu")</f>
        <v>Yu</v>
      </c>
      <c r="C170" s="53" t="str">
        <f>IFERROR(__xludf.DUMMYFUNCTION("""COMPUTED_VALUE"""),"Nicholas")</f>
        <v>Nicholas</v>
      </c>
      <c r="D170" s="54">
        <f>IFERROR(__xludf.DUMMYFUNCTION("""COMPUTED_VALUE"""),7.0)</f>
        <v>7</v>
      </c>
      <c r="E170" s="53" t="str">
        <f>IFERROR(__xludf.DUMMYFUNCTION("""COMPUTED_VALUE"""),"M")</f>
        <v>M</v>
      </c>
      <c r="F170" s="53" t="str">
        <f>IFERROR(__xludf.DUMMYFUNCTION("""COMPUTED_VALUE"""),"No, not Hispanic or Latino")</f>
        <v>No, not Hispanic or Latino</v>
      </c>
      <c r="G170" s="53" t="str">
        <f>IFERROR(__xludf.DUMMYFUNCTION("""COMPUTED_VALUE"""),"Chinese")</f>
        <v>Chinese</v>
      </c>
      <c r="H170" s="54">
        <f>IFERROR(__xludf.DUMMYFUNCTION("""COMPUTED_VALUE"""),1016.0)</f>
        <v>1016</v>
      </c>
      <c r="I170" s="53" t="str">
        <f>IFERROR(__xludf.DUMMYFUNCTION("""COMPUTED_VALUE"""),"000329")</f>
        <v>000329</v>
      </c>
      <c r="J170" s="53" t="str">
        <f>IFERROR(__xludf.DUMMYFUNCTION("""COMPUTED_VALUE"""),"24-25")</f>
        <v>24-25</v>
      </c>
    </row>
    <row r="171">
      <c r="A171" s="53" t="str">
        <f>IFERROR(__xludf.DUMMYFUNCTION("""COMPUTED_VALUE"""),"4230764965")</f>
        <v>4230764965</v>
      </c>
      <c r="B171" s="53" t="str">
        <f>IFERROR(__xludf.DUMMYFUNCTION("""COMPUTED_VALUE"""),"Alaniz")</f>
        <v>Alaniz</v>
      </c>
      <c r="C171" s="53" t="str">
        <f>IFERROR(__xludf.DUMMYFUNCTION("""COMPUTED_VALUE"""),"Joaquin")</f>
        <v>Joaquin</v>
      </c>
      <c r="D171" s="54">
        <f>IFERROR(__xludf.DUMMYFUNCTION("""COMPUTED_VALUE"""),7.0)</f>
        <v>7</v>
      </c>
      <c r="E171" s="53" t="str">
        <f>IFERROR(__xludf.DUMMYFUNCTION("""COMPUTED_VALUE"""),"M")</f>
        <v>M</v>
      </c>
      <c r="F171" s="53" t="str">
        <f>IFERROR(__xludf.DUMMYFUNCTION("""COMPUTED_VALUE"""),"Yes, Hispanic or Latino")</f>
        <v>Yes, Hispanic or Latino</v>
      </c>
      <c r="G171" s="53" t="str">
        <f>IFERROR(__xludf.DUMMYFUNCTION("""COMPUTED_VALUE"""),"White")</f>
        <v>White</v>
      </c>
      <c r="H171" s="54">
        <f>IFERROR(__xludf.DUMMYFUNCTION("""COMPUTED_VALUE"""),1080.0)</f>
        <v>1080</v>
      </c>
      <c r="I171" s="53" t="str">
        <f>IFERROR(__xludf.DUMMYFUNCTION("""COMPUTED_VALUE"""),"000325")</f>
        <v>000325</v>
      </c>
      <c r="J171" s="53" t="str">
        <f>IFERROR(__xludf.DUMMYFUNCTION("""COMPUTED_VALUE"""),"25-26")</f>
        <v>25-26</v>
      </c>
    </row>
    <row r="172">
      <c r="A172" s="53" t="str">
        <f>IFERROR(__xludf.DUMMYFUNCTION("""COMPUTED_VALUE"""),"1638572073")</f>
        <v>1638572073</v>
      </c>
      <c r="B172" s="53" t="str">
        <f>IFERROR(__xludf.DUMMYFUNCTION("""COMPUTED_VALUE"""),"Bagchi")</f>
        <v>Bagchi</v>
      </c>
      <c r="C172" s="53" t="str">
        <f>IFERROR(__xludf.DUMMYFUNCTION("""COMPUTED_VALUE"""),"Ronit")</f>
        <v>Ronit</v>
      </c>
      <c r="D172" s="54">
        <f>IFERROR(__xludf.DUMMYFUNCTION("""COMPUTED_VALUE"""),7.0)</f>
        <v>7</v>
      </c>
      <c r="E172" s="53" t="str">
        <f>IFERROR(__xludf.DUMMYFUNCTION("""COMPUTED_VALUE"""),"M")</f>
        <v>M</v>
      </c>
      <c r="F172" s="53" t="str">
        <f>IFERROR(__xludf.DUMMYFUNCTION("""COMPUTED_VALUE"""),"No, not Hispanic or Latino")</f>
        <v>No, not Hispanic or Latino</v>
      </c>
      <c r="G172" s="53" t="str">
        <f>IFERROR(__xludf.DUMMYFUNCTION("""COMPUTED_VALUE"""),"Asian Indian")</f>
        <v>Asian Indian</v>
      </c>
      <c r="H172" s="54">
        <f>IFERROR(__xludf.DUMMYFUNCTION("""COMPUTED_VALUE"""),1226.0)</f>
        <v>1226</v>
      </c>
      <c r="I172" s="53" t="str">
        <f>IFERROR(__xludf.DUMMYFUNCTION("""COMPUTED_VALUE"""),"000325")</f>
        <v>000325</v>
      </c>
      <c r="J172" s="53" t="str">
        <f>IFERROR(__xludf.DUMMYFUNCTION("""COMPUTED_VALUE"""),"25-26")</f>
        <v>25-26</v>
      </c>
    </row>
    <row r="173">
      <c r="A173" s="53" t="str">
        <f>IFERROR(__xludf.DUMMYFUNCTION("""COMPUTED_VALUE"""),"5689564773")</f>
        <v>5689564773</v>
      </c>
      <c r="B173" s="53" t="str">
        <f>IFERROR(__xludf.DUMMYFUNCTION("""COMPUTED_VALUE"""),"Baluda")</f>
        <v>Baluda</v>
      </c>
      <c r="C173" s="53" t="str">
        <f>IFERROR(__xludf.DUMMYFUNCTION("""COMPUTED_VALUE"""),"Genevieve")</f>
        <v>Genevieve</v>
      </c>
      <c r="D173" s="54">
        <f>IFERROR(__xludf.DUMMYFUNCTION("""COMPUTED_VALUE"""),7.0)</f>
        <v>7</v>
      </c>
      <c r="E173" s="53" t="str">
        <f>IFERROR(__xludf.DUMMYFUNCTION("""COMPUTED_VALUE"""),"F")</f>
        <v>F</v>
      </c>
      <c r="F173" s="53" t="str">
        <f>IFERROR(__xludf.DUMMYFUNCTION("""COMPUTED_VALUE"""),"No, not Hispanic or Latino")</f>
        <v>No, not Hispanic or Latino</v>
      </c>
      <c r="G173" s="53" t="str">
        <f>IFERROR(__xludf.DUMMYFUNCTION("""COMPUTED_VALUE"""),"White")</f>
        <v>White</v>
      </c>
      <c r="H173" s="54">
        <f>IFERROR(__xludf.DUMMYFUNCTION("""COMPUTED_VALUE"""),1082.0)</f>
        <v>1082</v>
      </c>
      <c r="I173" s="53" t="str">
        <f>IFERROR(__xludf.DUMMYFUNCTION("""COMPUTED_VALUE"""),"000325")</f>
        <v>000325</v>
      </c>
      <c r="J173" s="53" t="str">
        <f>IFERROR(__xludf.DUMMYFUNCTION("""COMPUTED_VALUE"""),"25-26")</f>
        <v>25-26</v>
      </c>
    </row>
    <row r="174">
      <c r="A174" s="53" t="str">
        <f>IFERROR(__xludf.DUMMYFUNCTION("""COMPUTED_VALUE"""),"1371393808")</f>
        <v>1371393808</v>
      </c>
      <c r="B174" s="53" t="str">
        <f>IFERROR(__xludf.DUMMYFUNCTION("""COMPUTED_VALUE"""),"Browning")</f>
        <v>Browning</v>
      </c>
      <c r="C174" s="53" t="str">
        <f>IFERROR(__xludf.DUMMYFUNCTION("""COMPUTED_VALUE"""),"Evan")</f>
        <v>Evan</v>
      </c>
      <c r="D174" s="54">
        <f>IFERROR(__xludf.DUMMYFUNCTION("""COMPUTED_VALUE"""),7.0)</f>
        <v>7</v>
      </c>
      <c r="E174" s="53" t="str">
        <f>IFERROR(__xludf.DUMMYFUNCTION("""COMPUTED_VALUE"""),"M")</f>
        <v>M</v>
      </c>
      <c r="F174" s="53" t="str">
        <f>IFERROR(__xludf.DUMMYFUNCTION("""COMPUTED_VALUE"""),"No, not Hispanic or Latino")</f>
        <v>No, not Hispanic or Latino</v>
      </c>
      <c r="G174" s="53" t="str">
        <f>IFERROR(__xludf.DUMMYFUNCTION("""COMPUTED_VALUE"""),"White")</f>
        <v>White</v>
      </c>
      <c r="H174" s="54">
        <f>IFERROR(__xludf.DUMMYFUNCTION("""COMPUTED_VALUE"""),1014.0)</f>
        <v>1014</v>
      </c>
      <c r="I174" s="53" t="str">
        <f>IFERROR(__xludf.DUMMYFUNCTION("""COMPUTED_VALUE"""),"000329")</f>
        <v>000329</v>
      </c>
      <c r="J174" s="53" t="str">
        <f>IFERROR(__xludf.DUMMYFUNCTION("""COMPUTED_VALUE"""),"25-26")</f>
        <v>25-26</v>
      </c>
    </row>
    <row r="175">
      <c r="A175" s="53" t="str">
        <f>IFERROR(__xludf.DUMMYFUNCTION("""COMPUTED_VALUE"""),"7634167402")</f>
        <v>7634167402</v>
      </c>
      <c r="B175" s="53" t="str">
        <f>IFERROR(__xludf.DUMMYFUNCTION("""COMPUTED_VALUE"""),"Burke")</f>
        <v>Burke</v>
      </c>
      <c r="C175" s="53" t="str">
        <f>IFERROR(__xludf.DUMMYFUNCTION("""COMPUTED_VALUE"""),"Elizabeth")</f>
        <v>Elizabeth</v>
      </c>
      <c r="D175" s="54">
        <f>IFERROR(__xludf.DUMMYFUNCTION("""COMPUTED_VALUE"""),7.0)</f>
        <v>7</v>
      </c>
      <c r="E175" s="53" t="str">
        <f>IFERROR(__xludf.DUMMYFUNCTION("""COMPUTED_VALUE"""),"F")</f>
        <v>F</v>
      </c>
      <c r="F175" s="53" t="str">
        <f>IFERROR(__xludf.DUMMYFUNCTION("""COMPUTED_VALUE"""),"No, not Hispanic or Latino")</f>
        <v>No, not Hispanic or Latino</v>
      </c>
      <c r="G175" s="53" t="str">
        <f>IFERROR(__xludf.DUMMYFUNCTION("""COMPUTED_VALUE"""),"White")</f>
        <v>White</v>
      </c>
      <c r="H175" s="54">
        <f>IFERROR(__xludf.DUMMYFUNCTION("""COMPUTED_VALUE"""),1082.0)</f>
        <v>1082</v>
      </c>
      <c r="I175" s="53" t="str">
        <f>IFERROR(__xludf.DUMMYFUNCTION("""COMPUTED_VALUE"""),"000325")</f>
        <v>000325</v>
      </c>
      <c r="J175" s="53" t="str">
        <f>IFERROR(__xludf.DUMMYFUNCTION("""COMPUTED_VALUE"""),"25-26")</f>
        <v>25-26</v>
      </c>
    </row>
    <row r="176">
      <c r="A176" s="53" t="str">
        <f>IFERROR(__xludf.DUMMYFUNCTION("""COMPUTED_VALUE"""),"4786069680")</f>
        <v>4786069680</v>
      </c>
      <c r="B176" s="53" t="str">
        <f>IFERROR(__xludf.DUMMYFUNCTION("""COMPUTED_VALUE"""),"Chance")</f>
        <v>Chance</v>
      </c>
      <c r="C176" s="53" t="str">
        <f>IFERROR(__xludf.DUMMYFUNCTION("""COMPUTED_VALUE"""),"Yukiko")</f>
        <v>Yukiko</v>
      </c>
      <c r="D176" s="54">
        <f>IFERROR(__xludf.DUMMYFUNCTION("""COMPUTED_VALUE"""),7.0)</f>
        <v>7</v>
      </c>
      <c r="E176" s="53" t="str">
        <f>IFERROR(__xludf.DUMMYFUNCTION("""COMPUTED_VALUE"""),"F")</f>
        <v>F</v>
      </c>
      <c r="F176" s="53" t="str">
        <f>IFERROR(__xludf.DUMMYFUNCTION("""COMPUTED_VALUE"""),"No, not Hispanic or Latino")</f>
        <v>No, not Hispanic or Latino</v>
      </c>
      <c r="G176" s="53" t="str">
        <f>IFERROR(__xludf.DUMMYFUNCTION("""COMPUTED_VALUE"""),"Japanese")</f>
        <v>Japanese</v>
      </c>
      <c r="H176" s="54">
        <f>IFERROR(__xludf.DUMMYFUNCTION("""COMPUTED_VALUE"""),1099.0)</f>
        <v>1099</v>
      </c>
      <c r="I176" s="53" t="str">
        <f>IFERROR(__xludf.DUMMYFUNCTION("""COMPUTED_VALUE"""),"000329")</f>
        <v>000329</v>
      </c>
      <c r="J176" s="53" t="str">
        <f>IFERROR(__xludf.DUMMYFUNCTION("""COMPUTED_VALUE"""),"25-26")</f>
        <v>25-26</v>
      </c>
    </row>
    <row r="177">
      <c r="A177" s="53" t="str">
        <f>IFERROR(__xludf.DUMMYFUNCTION("""COMPUTED_VALUE"""),"7517387204")</f>
        <v>7517387204</v>
      </c>
      <c r="B177" s="53" t="str">
        <f>IFERROR(__xludf.DUMMYFUNCTION("""COMPUTED_VALUE"""),"Contreras")</f>
        <v>Contreras</v>
      </c>
      <c r="C177" s="53" t="str">
        <f>IFERROR(__xludf.DUMMYFUNCTION("""COMPUTED_VALUE"""),"Amelie")</f>
        <v>Amelie</v>
      </c>
      <c r="D177" s="54">
        <f>IFERROR(__xludf.DUMMYFUNCTION("""COMPUTED_VALUE"""),7.0)</f>
        <v>7</v>
      </c>
      <c r="E177" s="53" t="str">
        <f>IFERROR(__xludf.DUMMYFUNCTION("""COMPUTED_VALUE"""),"F")</f>
        <v>F</v>
      </c>
      <c r="F177" s="53" t="str">
        <f>IFERROR(__xludf.DUMMYFUNCTION("""COMPUTED_VALUE"""),"Yes, Hispanic or Latino")</f>
        <v>Yes, Hispanic or Latino</v>
      </c>
      <c r="G177" s="53" t="str">
        <f>IFERROR(__xludf.DUMMYFUNCTION("""COMPUTED_VALUE"""),"White")</f>
        <v>White</v>
      </c>
      <c r="H177" s="54">
        <f>IFERROR(__xludf.DUMMYFUNCTION("""COMPUTED_VALUE"""),1014.0)</f>
        <v>1014</v>
      </c>
      <c r="I177" s="53" t="str">
        <f>IFERROR(__xludf.DUMMYFUNCTION("""COMPUTED_VALUE"""),"000329")</f>
        <v>000329</v>
      </c>
      <c r="J177" s="53" t="str">
        <f>IFERROR(__xludf.DUMMYFUNCTION("""COMPUTED_VALUE"""),"25-26")</f>
        <v>25-26</v>
      </c>
    </row>
    <row r="178">
      <c r="A178" s="53" t="str">
        <f>IFERROR(__xludf.DUMMYFUNCTION("""COMPUTED_VALUE"""),"9081513775")</f>
        <v>9081513775</v>
      </c>
      <c r="B178" s="53" t="str">
        <f>IFERROR(__xludf.DUMMYFUNCTION("""COMPUTED_VALUE"""),"Cortes")</f>
        <v>Cortes</v>
      </c>
      <c r="C178" s="53" t="str">
        <f>IFERROR(__xludf.DUMMYFUNCTION("""COMPUTED_VALUE"""),"Kennedy")</f>
        <v>Kennedy</v>
      </c>
      <c r="D178" s="54">
        <f>IFERROR(__xludf.DUMMYFUNCTION("""COMPUTED_VALUE"""),7.0)</f>
        <v>7</v>
      </c>
      <c r="E178" s="53" t="str">
        <f>IFERROR(__xludf.DUMMYFUNCTION("""COMPUTED_VALUE"""),"F")</f>
        <v>F</v>
      </c>
      <c r="F178" s="53" t="str">
        <f>IFERROR(__xludf.DUMMYFUNCTION("""COMPUTED_VALUE"""),"Yes, Hispanic or Latino")</f>
        <v>Yes, Hispanic or Latino</v>
      </c>
      <c r="G178" s="53" t="str">
        <f>IFERROR(__xludf.DUMMYFUNCTION("""COMPUTED_VALUE"""),"Filipino")</f>
        <v>Filipino</v>
      </c>
      <c r="H178" s="54">
        <f>IFERROR(__xludf.DUMMYFUNCTION("""COMPUTED_VALUE"""),1099.0)</f>
        <v>1099</v>
      </c>
      <c r="I178" s="53" t="str">
        <f>IFERROR(__xludf.DUMMYFUNCTION("""COMPUTED_VALUE"""),"000329")</f>
        <v>000329</v>
      </c>
      <c r="J178" s="53" t="str">
        <f>IFERROR(__xludf.DUMMYFUNCTION("""COMPUTED_VALUE"""),"25-26")</f>
        <v>25-26</v>
      </c>
    </row>
    <row r="179">
      <c r="A179" s="53" t="str">
        <f>IFERROR(__xludf.DUMMYFUNCTION("""COMPUTED_VALUE"""),"9079467366")</f>
        <v>9079467366</v>
      </c>
      <c r="B179" s="53" t="str">
        <f>IFERROR(__xludf.DUMMYFUNCTION("""COMPUTED_VALUE"""),"Dignon-Neville")</f>
        <v>Dignon-Neville</v>
      </c>
      <c r="C179" s="53" t="str">
        <f>IFERROR(__xludf.DUMMYFUNCTION("""COMPUTED_VALUE"""),"Alasdair")</f>
        <v>Alasdair</v>
      </c>
      <c r="D179" s="54">
        <f>IFERROR(__xludf.DUMMYFUNCTION("""COMPUTED_VALUE"""),7.0)</f>
        <v>7</v>
      </c>
      <c r="E179" s="53" t="str">
        <f>IFERROR(__xludf.DUMMYFUNCTION("""COMPUTED_VALUE"""),"M")</f>
        <v>M</v>
      </c>
      <c r="F179" s="53" t="str">
        <f>IFERROR(__xludf.DUMMYFUNCTION("""COMPUTED_VALUE"""),"No, not Hispanic or Latino")</f>
        <v>No, not Hispanic or Latino</v>
      </c>
      <c r="G179" s="53" t="str">
        <f>IFERROR(__xludf.DUMMYFUNCTION("""COMPUTED_VALUE"""),"White")</f>
        <v>White</v>
      </c>
      <c r="H179" s="54">
        <f>IFERROR(__xludf.DUMMYFUNCTION("""COMPUTED_VALUE"""),1099.0)</f>
        <v>1099</v>
      </c>
      <c r="I179" s="53" t="str">
        <f>IFERROR(__xludf.DUMMYFUNCTION("""COMPUTED_VALUE"""),"000329")</f>
        <v>000329</v>
      </c>
      <c r="J179" s="53" t="str">
        <f>IFERROR(__xludf.DUMMYFUNCTION("""COMPUTED_VALUE"""),"25-26")</f>
        <v>25-26</v>
      </c>
    </row>
    <row r="180">
      <c r="A180" s="53" t="str">
        <f>IFERROR(__xludf.DUMMYFUNCTION("""COMPUTED_VALUE"""),"5238996208")</f>
        <v>5238996208</v>
      </c>
      <c r="B180" s="53" t="str">
        <f>IFERROR(__xludf.DUMMYFUNCTION("""COMPUTED_VALUE"""),"Fong")</f>
        <v>Fong</v>
      </c>
      <c r="C180" s="53" t="str">
        <f>IFERROR(__xludf.DUMMYFUNCTION("""COMPUTED_VALUE"""),"Vincent")</f>
        <v>Vincent</v>
      </c>
      <c r="D180" s="54">
        <f>IFERROR(__xludf.DUMMYFUNCTION("""COMPUTED_VALUE"""),7.0)</f>
        <v>7</v>
      </c>
      <c r="E180" s="53" t="str">
        <f>IFERROR(__xludf.DUMMYFUNCTION("""COMPUTED_VALUE"""),"M")</f>
        <v>M</v>
      </c>
      <c r="F180" s="53" t="str">
        <f>IFERROR(__xludf.DUMMYFUNCTION("""COMPUTED_VALUE"""),"No, not Hispanic or Latino")</f>
        <v>No, not Hispanic or Latino</v>
      </c>
      <c r="G180" s="53" t="str">
        <f>IFERROR(__xludf.DUMMYFUNCTION("""COMPUTED_VALUE"""),"Chinese")</f>
        <v>Chinese</v>
      </c>
      <c r="H180" s="54">
        <f>IFERROR(__xludf.DUMMYFUNCTION("""COMPUTED_VALUE"""),1080.0)</f>
        <v>1080</v>
      </c>
      <c r="I180" s="53" t="str">
        <f>IFERROR(__xludf.DUMMYFUNCTION("""COMPUTED_VALUE"""),"000325")</f>
        <v>000325</v>
      </c>
      <c r="J180" s="53" t="str">
        <f>IFERROR(__xludf.DUMMYFUNCTION("""COMPUTED_VALUE"""),"25-26")</f>
        <v>25-26</v>
      </c>
    </row>
    <row r="181">
      <c r="A181" s="53" t="str">
        <f>IFERROR(__xludf.DUMMYFUNCTION("""COMPUTED_VALUE"""),"1221064064")</f>
        <v>1221064064</v>
      </c>
      <c r="B181" s="53" t="str">
        <f>IFERROR(__xludf.DUMMYFUNCTION("""COMPUTED_VALUE"""),"Fontaine")</f>
        <v>Fontaine</v>
      </c>
      <c r="C181" s="53" t="str">
        <f>IFERROR(__xludf.DUMMYFUNCTION("""COMPUTED_VALUE"""),"Blake")</f>
        <v>Blake</v>
      </c>
      <c r="D181" s="54">
        <f>IFERROR(__xludf.DUMMYFUNCTION("""COMPUTED_VALUE"""),7.0)</f>
        <v>7</v>
      </c>
      <c r="E181" s="53" t="str">
        <f>IFERROR(__xludf.DUMMYFUNCTION("""COMPUTED_VALUE"""),"F")</f>
        <v>F</v>
      </c>
      <c r="F181" s="53" t="str">
        <f>IFERROR(__xludf.DUMMYFUNCTION("""COMPUTED_VALUE"""),"No, not Hispanic or Latino")</f>
        <v>No, not Hispanic or Latino</v>
      </c>
      <c r="G181" s="53" t="str">
        <f>IFERROR(__xludf.DUMMYFUNCTION("""COMPUTED_VALUE"""),"White")</f>
        <v>White</v>
      </c>
      <c r="H181" s="54">
        <f>IFERROR(__xludf.DUMMYFUNCTION("""COMPUTED_VALUE"""),1223.0)</f>
        <v>1223</v>
      </c>
      <c r="I181" s="53" t="str">
        <f>IFERROR(__xludf.DUMMYFUNCTION("""COMPUTED_VALUE"""),"000325")</f>
        <v>000325</v>
      </c>
      <c r="J181" s="53" t="str">
        <f>IFERROR(__xludf.DUMMYFUNCTION("""COMPUTED_VALUE"""),"25-26")</f>
        <v>25-26</v>
      </c>
    </row>
    <row r="182">
      <c r="A182" s="53" t="str">
        <f>IFERROR(__xludf.DUMMYFUNCTION("""COMPUTED_VALUE"""),"5982259645")</f>
        <v>5982259645</v>
      </c>
      <c r="B182" s="53" t="str">
        <f>IFERROR(__xludf.DUMMYFUNCTION("""COMPUTED_VALUE"""),"Friedman")</f>
        <v>Friedman</v>
      </c>
      <c r="C182" s="53" t="str">
        <f>IFERROR(__xludf.DUMMYFUNCTION("""COMPUTED_VALUE"""),"Ma'ayan")</f>
        <v>Ma'ayan</v>
      </c>
      <c r="D182" s="54">
        <f>IFERROR(__xludf.DUMMYFUNCTION("""COMPUTED_VALUE"""),7.0)</f>
        <v>7</v>
      </c>
      <c r="E182" s="53" t="str">
        <f>IFERROR(__xludf.DUMMYFUNCTION("""COMPUTED_VALUE"""),"F")</f>
        <v>F</v>
      </c>
      <c r="F182" s="53" t="str">
        <f>IFERROR(__xludf.DUMMYFUNCTION("""COMPUTED_VALUE"""),"No, not Hispanic or Latino")</f>
        <v>No, not Hispanic or Latino</v>
      </c>
      <c r="G182" s="53" t="str">
        <f>IFERROR(__xludf.DUMMYFUNCTION("""COMPUTED_VALUE"""),"White")</f>
        <v>White</v>
      </c>
      <c r="H182" s="54">
        <f>IFERROR(__xludf.DUMMYFUNCTION("""COMPUTED_VALUE"""),1099.0)</f>
        <v>1099</v>
      </c>
      <c r="I182" s="53" t="str">
        <f>IFERROR(__xludf.DUMMYFUNCTION("""COMPUTED_VALUE"""),"000329")</f>
        <v>000329</v>
      </c>
      <c r="J182" s="53" t="str">
        <f>IFERROR(__xludf.DUMMYFUNCTION("""COMPUTED_VALUE"""),"25-26")</f>
        <v>25-26</v>
      </c>
    </row>
    <row r="183">
      <c r="A183" s="53" t="str">
        <f>IFERROR(__xludf.DUMMYFUNCTION("""COMPUTED_VALUE"""),"1506579017")</f>
        <v>1506579017</v>
      </c>
      <c r="B183" s="53" t="str">
        <f>IFERROR(__xludf.DUMMYFUNCTION("""COMPUTED_VALUE"""),"Gonzalez- Espana")</f>
        <v>Gonzalez- Espana</v>
      </c>
      <c r="C183" s="53" t="str">
        <f>IFERROR(__xludf.DUMMYFUNCTION("""COMPUTED_VALUE"""),"Gadiel")</f>
        <v>Gadiel</v>
      </c>
      <c r="D183" s="54">
        <f>IFERROR(__xludf.DUMMYFUNCTION("""COMPUTED_VALUE"""),7.0)</f>
        <v>7</v>
      </c>
      <c r="E183" s="53" t="str">
        <f>IFERROR(__xludf.DUMMYFUNCTION("""COMPUTED_VALUE"""),"M")</f>
        <v>M</v>
      </c>
      <c r="F183" s="53" t="str">
        <f>IFERROR(__xludf.DUMMYFUNCTION("""COMPUTED_VALUE"""),"No, not Hispanic or Latino")</f>
        <v>No, not Hispanic or Latino</v>
      </c>
      <c r="G183" s="53" t="str">
        <f>IFERROR(__xludf.DUMMYFUNCTION("""COMPUTED_VALUE"""),"White")</f>
        <v>White</v>
      </c>
      <c r="H183" s="54">
        <f>IFERROR(__xludf.DUMMYFUNCTION("""COMPUTED_VALUE"""),1014.0)</f>
        <v>1014</v>
      </c>
      <c r="I183" s="53" t="str">
        <f>IFERROR(__xludf.DUMMYFUNCTION("""COMPUTED_VALUE"""),"000329")</f>
        <v>000329</v>
      </c>
      <c r="J183" s="53" t="str">
        <f>IFERROR(__xludf.DUMMYFUNCTION("""COMPUTED_VALUE"""),"25-26")</f>
        <v>25-26</v>
      </c>
    </row>
    <row r="184">
      <c r="A184" s="53" t="str">
        <f>IFERROR(__xludf.DUMMYFUNCTION("""COMPUTED_VALUE"""),"5425134366")</f>
        <v>5425134366</v>
      </c>
      <c r="B184" s="53" t="str">
        <f>IFERROR(__xludf.DUMMYFUNCTION("""COMPUTED_VALUE"""),"Greene")</f>
        <v>Greene</v>
      </c>
      <c r="C184" s="53" t="str">
        <f>IFERROR(__xludf.DUMMYFUNCTION("""COMPUTED_VALUE"""),"Colin")</f>
        <v>Colin</v>
      </c>
      <c r="D184" s="54">
        <f>IFERROR(__xludf.DUMMYFUNCTION("""COMPUTED_VALUE"""),7.0)</f>
        <v>7</v>
      </c>
      <c r="E184" s="53" t="str">
        <f>IFERROR(__xludf.DUMMYFUNCTION("""COMPUTED_VALUE"""),"M")</f>
        <v>M</v>
      </c>
      <c r="F184" s="53" t="str">
        <f>IFERROR(__xludf.DUMMYFUNCTION("""COMPUTED_VALUE"""),"No, not Hispanic or Latino")</f>
        <v>No, not Hispanic or Latino</v>
      </c>
      <c r="G184" s="53" t="str">
        <f>IFERROR(__xludf.DUMMYFUNCTION("""COMPUTED_VALUE"""),"White")</f>
        <v>White</v>
      </c>
      <c r="H184" s="54">
        <f>IFERROR(__xludf.DUMMYFUNCTION("""COMPUTED_VALUE"""),1099.0)</f>
        <v>1099</v>
      </c>
      <c r="I184" s="53" t="str">
        <f>IFERROR(__xludf.DUMMYFUNCTION("""COMPUTED_VALUE"""),"000329")</f>
        <v>000329</v>
      </c>
      <c r="J184" s="53" t="str">
        <f>IFERROR(__xludf.DUMMYFUNCTION("""COMPUTED_VALUE"""),"25-26")</f>
        <v>25-26</v>
      </c>
    </row>
    <row r="185">
      <c r="A185" s="53" t="str">
        <f>IFERROR(__xludf.DUMMYFUNCTION("""COMPUTED_VALUE"""),"9512396910")</f>
        <v>9512396910</v>
      </c>
      <c r="B185" s="53" t="str">
        <f>IFERROR(__xludf.DUMMYFUNCTION("""COMPUTED_VALUE"""),"Hutchinson")</f>
        <v>Hutchinson</v>
      </c>
      <c r="C185" s="53" t="str">
        <f>IFERROR(__xludf.DUMMYFUNCTION("""COMPUTED_VALUE"""),"Meryl")</f>
        <v>Meryl</v>
      </c>
      <c r="D185" s="54">
        <f>IFERROR(__xludf.DUMMYFUNCTION("""COMPUTED_VALUE"""),7.0)</f>
        <v>7</v>
      </c>
      <c r="E185" s="53" t="str">
        <f>IFERROR(__xludf.DUMMYFUNCTION("""COMPUTED_VALUE"""),"F")</f>
        <v>F</v>
      </c>
      <c r="F185" s="53" t="str">
        <f>IFERROR(__xludf.DUMMYFUNCTION("""COMPUTED_VALUE"""),"No, not Hispanic or Latino")</f>
        <v>No, not Hispanic or Latino</v>
      </c>
      <c r="G185" s="53" t="str">
        <f>IFERROR(__xludf.DUMMYFUNCTION("""COMPUTED_VALUE"""),"White")</f>
        <v>White</v>
      </c>
      <c r="H185" s="54">
        <f>IFERROR(__xludf.DUMMYFUNCTION("""COMPUTED_VALUE"""),1099.0)</f>
        <v>1099</v>
      </c>
      <c r="I185" s="53" t="str">
        <f>IFERROR(__xludf.DUMMYFUNCTION("""COMPUTED_VALUE"""),"000329")</f>
        <v>000329</v>
      </c>
      <c r="J185" s="53" t="str">
        <f>IFERROR(__xludf.DUMMYFUNCTION("""COMPUTED_VALUE"""),"25-26")</f>
        <v>25-26</v>
      </c>
    </row>
    <row r="186">
      <c r="A186" s="53" t="str">
        <f>IFERROR(__xludf.DUMMYFUNCTION("""COMPUTED_VALUE"""),"8412714900")</f>
        <v>8412714900</v>
      </c>
      <c r="B186" s="53" t="str">
        <f>IFERROR(__xludf.DUMMYFUNCTION("""COMPUTED_VALUE"""),"Italiano")</f>
        <v>Italiano</v>
      </c>
      <c r="C186" s="53" t="str">
        <f>IFERROR(__xludf.DUMMYFUNCTION("""COMPUTED_VALUE"""),"Emma")</f>
        <v>Emma</v>
      </c>
      <c r="D186" s="54">
        <f>IFERROR(__xludf.DUMMYFUNCTION("""COMPUTED_VALUE"""),7.0)</f>
        <v>7</v>
      </c>
      <c r="E186" s="53" t="str">
        <f>IFERROR(__xludf.DUMMYFUNCTION("""COMPUTED_VALUE"""),"F")</f>
        <v>F</v>
      </c>
      <c r="F186" s="53" t="str">
        <f>IFERROR(__xludf.DUMMYFUNCTION("""COMPUTED_VALUE"""),"No, not Hispanic or Latino")</f>
        <v>No, not Hispanic or Latino</v>
      </c>
      <c r="G186" s="53" t="str">
        <f>IFERROR(__xludf.DUMMYFUNCTION("""COMPUTED_VALUE"""),"White")</f>
        <v>White</v>
      </c>
      <c r="H186" s="54">
        <f>IFERROR(__xludf.DUMMYFUNCTION("""COMPUTED_VALUE"""),1014.0)</f>
        <v>1014</v>
      </c>
      <c r="I186" s="53" t="str">
        <f>IFERROR(__xludf.DUMMYFUNCTION("""COMPUTED_VALUE"""),"000329")</f>
        <v>000329</v>
      </c>
      <c r="J186" s="53" t="str">
        <f>IFERROR(__xludf.DUMMYFUNCTION("""COMPUTED_VALUE"""),"25-26")</f>
        <v>25-26</v>
      </c>
    </row>
    <row r="187">
      <c r="A187" s="53" t="str">
        <f>IFERROR(__xludf.DUMMYFUNCTION("""COMPUTED_VALUE"""),"6387427552")</f>
        <v>6387427552</v>
      </c>
      <c r="B187" s="53" t="str">
        <f>IFERROR(__xludf.DUMMYFUNCTION("""COMPUTED_VALUE"""),"Jaeger")</f>
        <v>Jaeger</v>
      </c>
      <c r="C187" s="53" t="str">
        <f>IFERROR(__xludf.DUMMYFUNCTION("""COMPUTED_VALUE"""),"Emerson")</f>
        <v>Emerson</v>
      </c>
      <c r="D187" s="54">
        <f>IFERROR(__xludf.DUMMYFUNCTION("""COMPUTED_VALUE"""),7.0)</f>
        <v>7</v>
      </c>
      <c r="E187" s="53" t="str">
        <f>IFERROR(__xludf.DUMMYFUNCTION("""COMPUTED_VALUE"""),"F")</f>
        <v>F</v>
      </c>
      <c r="F187" s="53" t="str">
        <f>IFERROR(__xludf.DUMMYFUNCTION("""COMPUTED_VALUE"""),"No, not Hispanic or Latino")</f>
        <v>No, not Hispanic or Latino</v>
      </c>
      <c r="G187" s="53" t="str">
        <f>IFERROR(__xludf.DUMMYFUNCTION("""COMPUTED_VALUE"""),"White")</f>
        <v>White</v>
      </c>
      <c r="H187" s="54">
        <f>IFERROR(__xludf.DUMMYFUNCTION("""COMPUTED_VALUE"""),1099.0)</f>
        <v>1099</v>
      </c>
      <c r="I187" s="53" t="str">
        <f>IFERROR(__xludf.DUMMYFUNCTION("""COMPUTED_VALUE"""),"000329")</f>
        <v>000329</v>
      </c>
      <c r="J187" s="53" t="str">
        <f>IFERROR(__xludf.DUMMYFUNCTION("""COMPUTED_VALUE"""),"25-26")</f>
        <v>25-26</v>
      </c>
    </row>
    <row r="188">
      <c r="A188" s="53" t="str">
        <f>IFERROR(__xludf.DUMMYFUNCTION("""COMPUTED_VALUE"""),"6255057014")</f>
        <v>6255057014</v>
      </c>
      <c r="B188" s="53" t="str">
        <f>IFERROR(__xludf.DUMMYFUNCTION("""COMPUTED_VALUE"""),"Jones")</f>
        <v>Jones</v>
      </c>
      <c r="C188" s="53" t="str">
        <f>IFERROR(__xludf.DUMMYFUNCTION("""COMPUTED_VALUE"""),"Colin")</f>
        <v>Colin</v>
      </c>
      <c r="D188" s="54">
        <f>IFERROR(__xludf.DUMMYFUNCTION("""COMPUTED_VALUE"""),7.0)</f>
        <v>7</v>
      </c>
      <c r="E188" s="53" t="str">
        <f>IFERROR(__xludf.DUMMYFUNCTION("""COMPUTED_VALUE"""),"M")</f>
        <v>M</v>
      </c>
      <c r="F188" s="53" t="str">
        <f>IFERROR(__xludf.DUMMYFUNCTION("""COMPUTED_VALUE"""),"No, not Hispanic or Latino")</f>
        <v>No, not Hispanic or Latino</v>
      </c>
      <c r="G188" s="53" t="str">
        <f>IFERROR(__xludf.DUMMYFUNCTION("""COMPUTED_VALUE"""),"White")</f>
        <v>White</v>
      </c>
      <c r="H188" s="54">
        <f>IFERROR(__xludf.DUMMYFUNCTION("""COMPUTED_VALUE"""),1226.0)</f>
        <v>1226</v>
      </c>
      <c r="I188" s="53" t="str">
        <f>IFERROR(__xludf.DUMMYFUNCTION("""COMPUTED_VALUE"""),"000325")</f>
        <v>000325</v>
      </c>
      <c r="J188" s="53" t="str">
        <f>IFERROR(__xludf.DUMMYFUNCTION("""COMPUTED_VALUE"""),"25-26")</f>
        <v>25-26</v>
      </c>
    </row>
    <row r="189">
      <c r="A189" s="53" t="str">
        <f>IFERROR(__xludf.DUMMYFUNCTION("""COMPUTED_VALUE"""),"3753239545")</f>
        <v>3753239545</v>
      </c>
      <c r="B189" s="53" t="str">
        <f>IFERROR(__xludf.DUMMYFUNCTION("""COMPUTED_VALUE"""),"Kosiek")</f>
        <v>Kosiek</v>
      </c>
      <c r="C189" s="53" t="str">
        <f>IFERROR(__xludf.DUMMYFUNCTION("""COMPUTED_VALUE"""),"Mitchell")</f>
        <v>Mitchell</v>
      </c>
      <c r="D189" s="54">
        <f>IFERROR(__xludf.DUMMYFUNCTION("""COMPUTED_VALUE"""),7.0)</f>
        <v>7</v>
      </c>
      <c r="E189" s="53" t="str">
        <f>IFERROR(__xludf.DUMMYFUNCTION("""COMPUTED_VALUE"""),"M")</f>
        <v>M</v>
      </c>
      <c r="F189" s="53" t="str">
        <f>IFERROR(__xludf.DUMMYFUNCTION("""COMPUTED_VALUE"""),"No, not Hispanic or Latino")</f>
        <v>No, not Hispanic or Latino</v>
      </c>
      <c r="G189" s="53" t="str">
        <f>IFERROR(__xludf.DUMMYFUNCTION("""COMPUTED_VALUE"""),"White")</f>
        <v>White</v>
      </c>
      <c r="H189" s="54">
        <f>IFERROR(__xludf.DUMMYFUNCTION("""COMPUTED_VALUE"""),1082.0)</f>
        <v>1082</v>
      </c>
      <c r="I189" s="53" t="str">
        <f>IFERROR(__xludf.DUMMYFUNCTION("""COMPUTED_VALUE"""),"000325")</f>
        <v>000325</v>
      </c>
      <c r="J189" s="53" t="str">
        <f>IFERROR(__xludf.DUMMYFUNCTION("""COMPUTED_VALUE"""),"25-26")</f>
        <v>25-26</v>
      </c>
    </row>
    <row r="190">
      <c r="A190" s="53" t="str">
        <f>IFERROR(__xludf.DUMMYFUNCTION("""COMPUTED_VALUE"""),"7625570657")</f>
        <v>7625570657</v>
      </c>
      <c r="B190" s="53" t="str">
        <f>IFERROR(__xludf.DUMMYFUNCTION("""COMPUTED_VALUE"""),"Kurlan")</f>
        <v>Kurlan</v>
      </c>
      <c r="C190" s="53" t="str">
        <f>IFERROR(__xludf.DUMMYFUNCTION("""COMPUTED_VALUE"""),"Lily")</f>
        <v>Lily</v>
      </c>
      <c r="D190" s="54">
        <f>IFERROR(__xludf.DUMMYFUNCTION("""COMPUTED_VALUE"""),7.0)</f>
        <v>7</v>
      </c>
      <c r="E190" s="53" t="str">
        <f>IFERROR(__xludf.DUMMYFUNCTION("""COMPUTED_VALUE"""),"F")</f>
        <v>F</v>
      </c>
      <c r="F190" s="53" t="str">
        <f>IFERROR(__xludf.DUMMYFUNCTION("""COMPUTED_VALUE"""),"No, not Hispanic or Latino")</f>
        <v>No, not Hispanic or Latino</v>
      </c>
      <c r="G190" s="53" t="str">
        <f>IFERROR(__xludf.DUMMYFUNCTION("""COMPUTED_VALUE"""),"Vietnamese")</f>
        <v>Vietnamese</v>
      </c>
      <c r="H190" s="54">
        <f>IFERROR(__xludf.DUMMYFUNCTION("""COMPUTED_VALUE"""),1014.0)</f>
        <v>1014</v>
      </c>
      <c r="I190" s="53" t="str">
        <f>IFERROR(__xludf.DUMMYFUNCTION("""COMPUTED_VALUE"""),"000329")</f>
        <v>000329</v>
      </c>
      <c r="J190" s="53" t="str">
        <f>IFERROR(__xludf.DUMMYFUNCTION("""COMPUTED_VALUE"""),"25-26")</f>
        <v>25-26</v>
      </c>
    </row>
    <row r="191">
      <c r="A191" s="53" t="str">
        <f>IFERROR(__xludf.DUMMYFUNCTION("""COMPUTED_VALUE"""),"6401286090")</f>
        <v>6401286090</v>
      </c>
      <c r="B191" s="53" t="str">
        <f>IFERROR(__xludf.DUMMYFUNCTION("""COMPUTED_VALUE"""),"Lau")</f>
        <v>Lau</v>
      </c>
      <c r="C191" s="53" t="str">
        <f>IFERROR(__xludf.DUMMYFUNCTION("""COMPUTED_VALUE"""),"HokYin Hayley")</f>
        <v>HokYin Hayley</v>
      </c>
      <c r="D191" s="54">
        <f>IFERROR(__xludf.DUMMYFUNCTION("""COMPUTED_VALUE"""),7.0)</f>
        <v>7</v>
      </c>
      <c r="E191" s="53" t="str">
        <f>IFERROR(__xludf.DUMMYFUNCTION("""COMPUTED_VALUE"""),"F")</f>
        <v>F</v>
      </c>
      <c r="F191" s="53" t="str">
        <f>IFERROR(__xludf.DUMMYFUNCTION("""COMPUTED_VALUE"""),"No, not Hispanic or Latino")</f>
        <v>No, not Hispanic or Latino</v>
      </c>
      <c r="G191" s="53" t="str">
        <f>IFERROR(__xludf.DUMMYFUNCTION("""COMPUTED_VALUE"""),"Chinese")</f>
        <v>Chinese</v>
      </c>
      <c r="H191" s="54">
        <f>IFERROR(__xludf.DUMMYFUNCTION("""COMPUTED_VALUE"""),1099.0)</f>
        <v>1099</v>
      </c>
      <c r="I191" s="53" t="str">
        <f>IFERROR(__xludf.DUMMYFUNCTION("""COMPUTED_VALUE"""),"000329")</f>
        <v>000329</v>
      </c>
      <c r="J191" s="53" t="str">
        <f>IFERROR(__xludf.DUMMYFUNCTION("""COMPUTED_VALUE"""),"25-26")</f>
        <v>25-26</v>
      </c>
    </row>
    <row r="192">
      <c r="A192" s="53" t="str">
        <f>IFERROR(__xludf.DUMMYFUNCTION("""COMPUTED_VALUE"""),"1387656167")</f>
        <v>1387656167</v>
      </c>
      <c r="B192" s="53" t="str">
        <f>IFERROR(__xludf.DUMMYFUNCTION("""COMPUTED_VALUE"""),"Lauster")</f>
        <v>Lauster</v>
      </c>
      <c r="C192" s="53" t="str">
        <f>IFERROR(__xludf.DUMMYFUNCTION("""COMPUTED_VALUE"""),"John")</f>
        <v>John</v>
      </c>
      <c r="D192" s="54">
        <f>IFERROR(__xludf.DUMMYFUNCTION("""COMPUTED_VALUE"""),7.0)</f>
        <v>7</v>
      </c>
      <c r="E192" s="53" t="str">
        <f>IFERROR(__xludf.DUMMYFUNCTION("""COMPUTED_VALUE"""),"M")</f>
        <v>M</v>
      </c>
      <c r="F192" s="53" t="str">
        <f>IFERROR(__xludf.DUMMYFUNCTION("""COMPUTED_VALUE"""),"No, not Hispanic or Latino")</f>
        <v>No, not Hispanic or Latino</v>
      </c>
      <c r="G192" s="53" t="str">
        <f>IFERROR(__xludf.DUMMYFUNCTION("""COMPUTED_VALUE"""),"White")</f>
        <v>White</v>
      </c>
      <c r="H192" s="54">
        <f>IFERROR(__xludf.DUMMYFUNCTION("""COMPUTED_VALUE"""),1014.0)</f>
        <v>1014</v>
      </c>
      <c r="I192" s="53" t="str">
        <f>IFERROR(__xludf.DUMMYFUNCTION("""COMPUTED_VALUE"""),"000329")</f>
        <v>000329</v>
      </c>
      <c r="J192" s="53" t="str">
        <f>IFERROR(__xludf.DUMMYFUNCTION("""COMPUTED_VALUE"""),"25-26")</f>
        <v>25-26</v>
      </c>
    </row>
    <row r="193">
      <c r="A193" s="53" t="str">
        <f>IFERROR(__xludf.DUMMYFUNCTION("""COMPUTED_VALUE"""),"2309069790")</f>
        <v>2309069790</v>
      </c>
      <c r="B193" s="53" t="str">
        <f>IFERROR(__xludf.DUMMYFUNCTION("""COMPUTED_VALUE"""),"Linvill")</f>
        <v>Linvill</v>
      </c>
      <c r="C193" s="53" t="str">
        <f>IFERROR(__xludf.DUMMYFUNCTION("""COMPUTED_VALUE"""),"Eleanor")</f>
        <v>Eleanor</v>
      </c>
      <c r="D193" s="54">
        <f>IFERROR(__xludf.DUMMYFUNCTION("""COMPUTED_VALUE"""),7.0)</f>
        <v>7</v>
      </c>
      <c r="E193" s="53" t="str">
        <f>IFERROR(__xludf.DUMMYFUNCTION("""COMPUTED_VALUE"""),"F")</f>
        <v>F</v>
      </c>
      <c r="F193" s="53" t="str">
        <f>IFERROR(__xludf.DUMMYFUNCTION("""COMPUTED_VALUE"""),"No, not Hispanic or Latino")</f>
        <v>No, not Hispanic or Latino</v>
      </c>
      <c r="G193" s="53" t="str">
        <f>IFERROR(__xludf.DUMMYFUNCTION("""COMPUTED_VALUE"""),"White")</f>
        <v>White</v>
      </c>
      <c r="H193" s="54">
        <f>IFERROR(__xludf.DUMMYFUNCTION("""COMPUTED_VALUE"""),1077.0)</f>
        <v>1077</v>
      </c>
      <c r="I193" s="53" t="str">
        <f>IFERROR(__xludf.DUMMYFUNCTION("""COMPUTED_VALUE"""),"000325")</f>
        <v>000325</v>
      </c>
      <c r="J193" s="53" t="str">
        <f>IFERROR(__xludf.DUMMYFUNCTION("""COMPUTED_VALUE"""),"25-26")</f>
        <v>25-26</v>
      </c>
    </row>
    <row r="194">
      <c r="A194" s="53" t="str">
        <f>IFERROR(__xludf.DUMMYFUNCTION("""COMPUTED_VALUE"""),"7780844013")</f>
        <v>7780844013</v>
      </c>
      <c r="B194" s="53" t="str">
        <f>IFERROR(__xludf.DUMMYFUNCTION("""COMPUTED_VALUE"""),"Marcussen")</f>
        <v>Marcussen</v>
      </c>
      <c r="C194" s="53" t="str">
        <f>IFERROR(__xludf.DUMMYFUNCTION("""COMPUTED_VALUE"""),"Rhys")</f>
        <v>Rhys</v>
      </c>
      <c r="D194" s="54">
        <f>IFERROR(__xludf.DUMMYFUNCTION("""COMPUTED_VALUE"""),7.0)</f>
        <v>7</v>
      </c>
      <c r="E194" s="53" t="str">
        <f>IFERROR(__xludf.DUMMYFUNCTION("""COMPUTED_VALUE"""),"M")</f>
        <v>M</v>
      </c>
      <c r="F194" s="53" t="str">
        <f>IFERROR(__xludf.DUMMYFUNCTION("""COMPUTED_VALUE"""),"No, not Hispanic or Latino")</f>
        <v>No, not Hispanic or Latino</v>
      </c>
      <c r="G194" s="53" t="str">
        <f>IFERROR(__xludf.DUMMYFUNCTION("""COMPUTED_VALUE"""),"White")</f>
        <v>White</v>
      </c>
      <c r="H194" s="54">
        <f>IFERROR(__xludf.DUMMYFUNCTION("""COMPUTED_VALUE"""),1099.0)</f>
        <v>1099</v>
      </c>
      <c r="I194" s="53" t="str">
        <f>IFERROR(__xludf.DUMMYFUNCTION("""COMPUTED_VALUE"""),"000329")</f>
        <v>000329</v>
      </c>
      <c r="J194" s="53" t="str">
        <f>IFERROR(__xludf.DUMMYFUNCTION("""COMPUTED_VALUE"""),"25-26")</f>
        <v>25-26</v>
      </c>
    </row>
    <row r="195">
      <c r="A195" s="53" t="str">
        <f>IFERROR(__xludf.DUMMYFUNCTION("""COMPUTED_VALUE"""),"8452232627")</f>
        <v>8452232627</v>
      </c>
      <c r="B195" s="53" t="str">
        <f>IFERROR(__xludf.DUMMYFUNCTION("""COMPUTED_VALUE"""),"Marin")</f>
        <v>Marin</v>
      </c>
      <c r="C195" s="53" t="str">
        <f>IFERROR(__xludf.DUMMYFUNCTION("""COMPUTED_VALUE"""),"Olivia")</f>
        <v>Olivia</v>
      </c>
      <c r="D195" s="54">
        <f>IFERROR(__xludf.DUMMYFUNCTION("""COMPUTED_VALUE"""),7.0)</f>
        <v>7</v>
      </c>
      <c r="E195" s="53" t="str">
        <f>IFERROR(__xludf.DUMMYFUNCTION("""COMPUTED_VALUE"""),"F")</f>
        <v>F</v>
      </c>
      <c r="F195" s="53" t="str">
        <f>IFERROR(__xludf.DUMMYFUNCTION("""COMPUTED_VALUE"""),"No, not Hispanic or Latino")</f>
        <v>No, not Hispanic or Latino</v>
      </c>
      <c r="G195" s="53" t="str">
        <f>IFERROR(__xludf.DUMMYFUNCTION("""COMPUTED_VALUE"""),"White")</f>
        <v>White</v>
      </c>
      <c r="H195" s="54">
        <f>IFERROR(__xludf.DUMMYFUNCTION("""COMPUTED_VALUE"""),1014.0)</f>
        <v>1014</v>
      </c>
      <c r="I195" s="53" t="str">
        <f>IFERROR(__xludf.DUMMYFUNCTION("""COMPUTED_VALUE"""),"000329")</f>
        <v>000329</v>
      </c>
      <c r="J195" s="53" t="str">
        <f>IFERROR(__xludf.DUMMYFUNCTION("""COMPUTED_VALUE"""),"25-26")</f>
        <v>25-26</v>
      </c>
    </row>
    <row r="196">
      <c r="A196" s="53" t="str">
        <f>IFERROR(__xludf.DUMMYFUNCTION("""COMPUTED_VALUE"""),"1508023664")</f>
        <v>1508023664</v>
      </c>
      <c r="B196" s="53" t="str">
        <f>IFERROR(__xludf.DUMMYFUNCTION("""COMPUTED_VALUE"""),"Mazariegos Lopez")</f>
        <v>Mazariegos Lopez</v>
      </c>
      <c r="C196" s="53" t="str">
        <f>IFERROR(__xludf.DUMMYFUNCTION("""COMPUTED_VALUE"""),"Bradley")</f>
        <v>Bradley</v>
      </c>
      <c r="D196" s="54">
        <f>IFERROR(__xludf.DUMMYFUNCTION("""COMPUTED_VALUE"""),7.0)</f>
        <v>7</v>
      </c>
      <c r="E196" s="53" t="str">
        <f>IFERROR(__xludf.DUMMYFUNCTION("""COMPUTED_VALUE"""),"M")</f>
        <v>M</v>
      </c>
      <c r="F196" s="53" t="str">
        <f>IFERROR(__xludf.DUMMYFUNCTION("""COMPUTED_VALUE"""),"Yes, Hispanic or Latino")</f>
        <v>Yes, Hispanic or Latino</v>
      </c>
      <c r="G196" s="53" t="str">
        <f>IFERROR(__xludf.DUMMYFUNCTION("""COMPUTED_VALUE"""),"No Answer Provided")</f>
        <v>No Answer Provided</v>
      </c>
      <c r="H196" s="54">
        <f>IFERROR(__xludf.DUMMYFUNCTION("""COMPUTED_VALUE"""),1082.0)</f>
        <v>1082</v>
      </c>
      <c r="I196" s="53" t="str">
        <f>IFERROR(__xludf.DUMMYFUNCTION("""COMPUTED_VALUE"""),"000325")</f>
        <v>000325</v>
      </c>
      <c r="J196" s="53" t="str">
        <f>IFERROR(__xludf.DUMMYFUNCTION("""COMPUTED_VALUE"""),"25-26")</f>
        <v>25-26</v>
      </c>
    </row>
    <row r="197">
      <c r="A197" s="53" t="str">
        <f>IFERROR(__xludf.DUMMYFUNCTION("""COMPUTED_VALUE"""),"6978171126")</f>
        <v>6978171126</v>
      </c>
      <c r="B197" s="53" t="str">
        <f>IFERROR(__xludf.DUMMYFUNCTION("""COMPUTED_VALUE"""),"McLeary")</f>
        <v>McLeary</v>
      </c>
      <c r="C197" s="53" t="str">
        <f>IFERROR(__xludf.DUMMYFUNCTION("""COMPUTED_VALUE"""),"Henry")</f>
        <v>Henry</v>
      </c>
      <c r="D197" s="54">
        <f>IFERROR(__xludf.DUMMYFUNCTION("""COMPUTED_VALUE"""),7.0)</f>
        <v>7</v>
      </c>
      <c r="E197" s="53" t="str">
        <f>IFERROR(__xludf.DUMMYFUNCTION("""COMPUTED_VALUE"""),"M")</f>
        <v>M</v>
      </c>
      <c r="F197" s="53" t="str">
        <f>IFERROR(__xludf.DUMMYFUNCTION("""COMPUTED_VALUE"""),"No, not Hispanic or Latino")</f>
        <v>No, not Hispanic or Latino</v>
      </c>
      <c r="G197" s="53" t="str">
        <f>IFERROR(__xludf.DUMMYFUNCTION("""COMPUTED_VALUE"""),"White")</f>
        <v>White</v>
      </c>
      <c r="H197" s="54">
        <f>IFERROR(__xludf.DUMMYFUNCTION("""COMPUTED_VALUE"""),1014.0)</f>
        <v>1014</v>
      </c>
      <c r="I197" s="53" t="str">
        <f>IFERROR(__xludf.DUMMYFUNCTION("""COMPUTED_VALUE"""),"000329")</f>
        <v>000329</v>
      </c>
      <c r="J197" s="53" t="str">
        <f>IFERROR(__xludf.DUMMYFUNCTION("""COMPUTED_VALUE"""),"25-26")</f>
        <v>25-26</v>
      </c>
    </row>
    <row r="198">
      <c r="A198" s="53" t="str">
        <f>IFERROR(__xludf.DUMMYFUNCTION("""COMPUTED_VALUE"""),"8902037711")</f>
        <v>8902037711</v>
      </c>
      <c r="B198" s="53" t="str">
        <f>IFERROR(__xludf.DUMMYFUNCTION("""COMPUTED_VALUE"""),"Medina")</f>
        <v>Medina</v>
      </c>
      <c r="C198" s="53" t="str">
        <f>IFERROR(__xludf.DUMMYFUNCTION("""COMPUTED_VALUE"""),"Camila")</f>
        <v>Camila</v>
      </c>
      <c r="D198" s="54">
        <f>IFERROR(__xludf.DUMMYFUNCTION("""COMPUTED_VALUE"""),7.0)</f>
        <v>7</v>
      </c>
      <c r="E198" s="53" t="str">
        <f>IFERROR(__xludf.DUMMYFUNCTION("""COMPUTED_VALUE"""),"F")</f>
        <v>F</v>
      </c>
      <c r="F198" s="53" t="str">
        <f>IFERROR(__xludf.DUMMYFUNCTION("""COMPUTED_VALUE"""),"Yes, Hispanic or Latino")</f>
        <v>Yes, Hispanic or Latino</v>
      </c>
      <c r="G198" s="53" t="str">
        <f>IFERROR(__xludf.DUMMYFUNCTION("""COMPUTED_VALUE"""),"White")</f>
        <v>White</v>
      </c>
      <c r="H198" s="54">
        <f>IFERROR(__xludf.DUMMYFUNCTION("""COMPUTED_VALUE"""),1082.0)</f>
        <v>1082</v>
      </c>
      <c r="I198" s="53" t="str">
        <f>IFERROR(__xludf.DUMMYFUNCTION("""COMPUTED_VALUE"""),"000325")</f>
        <v>000325</v>
      </c>
      <c r="J198" s="53" t="str">
        <f>IFERROR(__xludf.DUMMYFUNCTION("""COMPUTED_VALUE"""),"25-26")</f>
        <v>25-26</v>
      </c>
    </row>
    <row r="199">
      <c r="A199" s="53" t="str">
        <f>IFERROR(__xludf.DUMMYFUNCTION("""COMPUTED_VALUE"""),"4544156553")</f>
        <v>4544156553</v>
      </c>
      <c r="B199" s="53" t="str">
        <f>IFERROR(__xludf.DUMMYFUNCTION("""COMPUTED_VALUE"""),"Minnich")</f>
        <v>Minnich</v>
      </c>
      <c r="C199" s="53" t="str">
        <f>IFERROR(__xludf.DUMMYFUNCTION("""COMPUTED_VALUE"""),"Lauren")</f>
        <v>Lauren</v>
      </c>
      <c r="D199" s="54">
        <f>IFERROR(__xludf.DUMMYFUNCTION("""COMPUTED_VALUE"""),7.0)</f>
        <v>7</v>
      </c>
      <c r="E199" s="53" t="str">
        <f>IFERROR(__xludf.DUMMYFUNCTION("""COMPUTED_VALUE"""),"F")</f>
        <v>F</v>
      </c>
      <c r="F199" s="53" t="str">
        <f>IFERROR(__xludf.DUMMYFUNCTION("""COMPUTED_VALUE"""),"No, not Hispanic or Latino")</f>
        <v>No, not Hispanic or Latino</v>
      </c>
      <c r="G199" s="53" t="str">
        <f>IFERROR(__xludf.DUMMYFUNCTION("""COMPUTED_VALUE"""),"White")</f>
        <v>White</v>
      </c>
      <c r="H199" s="54">
        <f>IFERROR(__xludf.DUMMYFUNCTION("""COMPUTED_VALUE"""),1223.0)</f>
        <v>1223</v>
      </c>
      <c r="I199" s="53" t="str">
        <f>IFERROR(__xludf.DUMMYFUNCTION("""COMPUTED_VALUE"""),"000325")</f>
        <v>000325</v>
      </c>
      <c r="J199" s="53" t="str">
        <f>IFERROR(__xludf.DUMMYFUNCTION("""COMPUTED_VALUE"""),"25-26")</f>
        <v>25-26</v>
      </c>
    </row>
    <row r="200">
      <c r="A200" s="53" t="str">
        <f>IFERROR(__xludf.DUMMYFUNCTION("""COMPUTED_VALUE"""),"4218493781")</f>
        <v>4218493781</v>
      </c>
      <c r="B200" s="53" t="str">
        <f>IFERROR(__xludf.DUMMYFUNCTION("""COMPUTED_VALUE"""),"Mitaine")</f>
        <v>Mitaine</v>
      </c>
      <c r="C200" s="53" t="str">
        <f>IFERROR(__xludf.DUMMYFUNCTION("""COMPUTED_VALUE"""),"Madeline")</f>
        <v>Madeline</v>
      </c>
      <c r="D200" s="54">
        <f>IFERROR(__xludf.DUMMYFUNCTION("""COMPUTED_VALUE"""),7.0)</f>
        <v>7</v>
      </c>
      <c r="E200" s="53" t="str">
        <f>IFERROR(__xludf.DUMMYFUNCTION("""COMPUTED_VALUE"""),"F")</f>
        <v>F</v>
      </c>
      <c r="F200" s="53" t="str">
        <f>IFERROR(__xludf.DUMMYFUNCTION("""COMPUTED_VALUE"""),"No, not Hispanic or Latino")</f>
        <v>No, not Hispanic or Latino</v>
      </c>
      <c r="G200" s="53" t="str">
        <f>IFERROR(__xludf.DUMMYFUNCTION("""COMPUTED_VALUE"""),"Black or African American")</f>
        <v>Black or African American</v>
      </c>
      <c r="H200" s="54">
        <f>IFERROR(__xludf.DUMMYFUNCTION("""COMPUTED_VALUE"""),1082.0)</f>
        <v>1082</v>
      </c>
      <c r="I200" s="53" t="str">
        <f>IFERROR(__xludf.DUMMYFUNCTION("""COMPUTED_VALUE"""),"000325")</f>
        <v>000325</v>
      </c>
      <c r="J200" s="53" t="str">
        <f>IFERROR(__xludf.DUMMYFUNCTION("""COMPUTED_VALUE"""),"25-26")</f>
        <v>25-26</v>
      </c>
    </row>
    <row r="201">
      <c r="A201" s="53" t="str">
        <f>IFERROR(__xludf.DUMMYFUNCTION("""COMPUTED_VALUE"""),"3144909745")</f>
        <v>3144909745</v>
      </c>
      <c r="B201" s="53" t="str">
        <f>IFERROR(__xludf.DUMMYFUNCTION("""COMPUTED_VALUE"""),"Mitchell")</f>
        <v>Mitchell</v>
      </c>
      <c r="C201" s="53" t="str">
        <f>IFERROR(__xludf.DUMMYFUNCTION("""COMPUTED_VALUE"""),"Tallulah")</f>
        <v>Tallulah</v>
      </c>
      <c r="D201" s="54">
        <f>IFERROR(__xludf.DUMMYFUNCTION("""COMPUTED_VALUE"""),7.0)</f>
        <v>7</v>
      </c>
      <c r="E201" s="53" t="str">
        <f>IFERROR(__xludf.DUMMYFUNCTION("""COMPUTED_VALUE"""),"F")</f>
        <v>F</v>
      </c>
      <c r="F201" s="53" t="str">
        <f>IFERROR(__xludf.DUMMYFUNCTION("""COMPUTED_VALUE"""),"No, not Hispanic or Latino")</f>
        <v>No, not Hispanic or Latino</v>
      </c>
      <c r="G201" s="53" t="str">
        <f>IFERROR(__xludf.DUMMYFUNCTION("""COMPUTED_VALUE"""),"White")</f>
        <v>White</v>
      </c>
      <c r="H201" s="54">
        <f>IFERROR(__xludf.DUMMYFUNCTION("""COMPUTED_VALUE"""),1226.0)</f>
        <v>1226</v>
      </c>
      <c r="I201" s="53" t="str">
        <f>IFERROR(__xludf.DUMMYFUNCTION("""COMPUTED_VALUE"""),"000325")</f>
        <v>000325</v>
      </c>
      <c r="J201" s="53" t="str">
        <f>IFERROR(__xludf.DUMMYFUNCTION("""COMPUTED_VALUE"""),"25-26")</f>
        <v>25-26</v>
      </c>
    </row>
    <row r="202">
      <c r="A202" s="53" t="str">
        <f>IFERROR(__xludf.DUMMYFUNCTION("""COMPUTED_VALUE"""),"1211892254")</f>
        <v>1211892254</v>
      </c>
      <c r="B202" s="53" t="str">
        <f>IFERROR(__xludf.DUMMYFUNCTION("""COMPUTED_VALUE"""),"Morgan")</f>
        <v>Morgan</v>
      </c>
      <c r="C202" s="53" t="str">
        <f>IFERROR(__xludf.DUMMYFUNCTION("""COMPUTED_VALUE"""),"Coen")</f>
        <v>Coen</v>
      </c>
      <c r="D202" s="54">
        <f>IFERROR(__xludf.DUMMYFUNCTION("""COMPUTED_VALUE"""),7.0)</f>
        <v>7</v>
      </c>
      <c r="E202" s="53" t="str">
        <f>IFERROR(__xludf.DUMMYFUNCTION("""COMPUTED_VALUE"""),"M")</f>
        <v>M</v>
      </c>
      <c r="F202" s="53" t="str">
        <f>IFERROR(__xludf.DUMMYFUNCTION("""COMPUTED_VALUE"""),"No, not Hispanic or Latino")</f>
        <v>No, not Hispanic or Latino</v>
      </c>
      <c r="G202" s="53" t="str">
        <f>IFERROR(__xludf.DUMMYFUNCTION("""COMPUTED_VALUE"""),"White")</f>
        <v>White</v>
      </c>
      <c r="H202" s="54">
        <f>IFERROR(__xludf.DUMMYFUNCTION("""COMPUTED_VALUE"""),1014.0)</f>
        <v>1014</v>
      </c>
      <c r="I202" s="53" t="str">
        <f>IFERROR(__xludf.DUMMYFUNCTION("""COMPUTED_VALUE"""),"000329")</f>
        <v>000329</v>
      </c>
      <c r="J202" s="53" t="str">
        <f>IFERROR(__xludf.DUMMYFUNCTION("""COMPUTED_VALUE"""),"25-26")</f>
        <v>25-26</v>
      </c>
    </row>
    <row r="203">
      <c r="A203" s="53" t="str">
        <f>IFERROR(__xludf.DUMMYFUNCTION("""COMPUTED_VALUE"""),"5756595917")</f>
        <v>5756595917</v>
      </c>
      <c r="B203" s="53" t="str">
        <f>IFERROR(__xludf.DUMMYFUNCTION("""COMPUTED_VALUE"""),"Morgan")</f>
        <v>Morgan</v>
      </c>
      <c r="C203" s="53" t="str">
        <f>IFERROR(__xludf.DUMMYFUNCTION("""COMPUTED_VALUE"""),"Justus")</f>
        <v>Justus</v>
      </c>
      <c r="D203" s="54">
        <f>IFERROR(__xludf.DUMMYFUNCTION("""COMPUTED_VALUE"""),7.0)</f>
        <v>7</v>
      </c>
      <c r="E203" s="53" t="str">
        <f>IFERROR(__xludf.DUMMYFUNCTION("""COMPUTED_VALUE"""),"M")</f>
        <v>M</v>
      </c>
      <c r="F203" s="53" t="str">
        <f>IFERROR(__xludf.DUMMYFUNCTION("""COMPUTED_VALUE"""),"No, not Hispanic or Latino")</f>
        <v>No, not Hispanic or Latino</v>
      </c>
      <c r="G203" s="53" t="str">
        <f>IFERROR(__xludf.DUMMYFUNCTION("""COMPUTED_VALUE"""),"White")</f>
        <v>White</v>
      </c>
      <c r="H203" s="54">
        <f>IFERROR(__xludf.DUMMYFUNCTION("""COMPUTED_VALUE"""),1014.0)</f>
        <v>1014</v>
      </c>
      <c r="I203" s="53" t="str">
        <f>IFERROR(__xludf.DUMMYFUNCTION("""COMPUTED_VALUE"""),"000329")</f>
        <v>000329</v>
      </c>
      <c r="J203" s="53" t="str">
        <f>IFERROR(__xludf.DUMMYFUNCTION("""COMPUTED_VALUE"""),"25-26")</f>
        <v>25-26</v>
      </c>
    </row>
    <row r="204">
      <c r="A204" s="53" t="str">
        <f>IFERROR(__xludf.DUMMYFUNCTION("""COMPUTED_VALUE"""),"9935872288")</f>
        <v>9935872288</v>
      </c>
      <c r="B204" s="53" t="str">
        <f>IFERROR(__xludf.DUMMYFUNCTION("""COMPUTED_VALUE"""),"Newhoff")</f>
        <v>Newhoff</v>
      </c>
      <c r="C204" s="53" t="str">
        <f>IFERROR(__xludf.DUMMYFUNCTION("""COMPUTED_VALUE"""),"Coco")</f>
        <v>Coco</v>
      </c>
      <c r="D204" s="54">
        <f>IFERROR(__xludf.DUMMYFUNCTION("""COMPUTED_VALUE"""),7.0)</f>
        <v>7</v>
      </c>
      <c r="E204" s="53" t="str">
        <f>IFERROR(__xludf.DUMMYFUNCTION("""COMPUTED_VALUE"""),"F")</f>
        <v>F</v>
      </c>
      <c r="F204" s="53" t="str">
        <f>IFERROR(__xludf.DUMMYFUNCTION("""COMPUTED_VALUE"""),"No, not Hispanic or Latino")</f>
        <v>No, not Hispanic or Latino</v>
      </c>
      <c r="G204" s="53" t="str">
        <f>IFERROR(__xludf.DUMMYFUNCTION("""COMPUTED_VALUE"""),"White")</f>
        <v>White</v>
      </c>
      <c r="H204" s="54">
        <f>IFERROR(__xludf.DUMMYFUNCTION("""COMPUTED_VALUE"""),1077.0)</f>
        <v>1077</v>
      </c>
      <c r="I204" s="53" t="str">
        <f>IFERROR(__xludf.DUMMYFUNCTION("""COMPUTED_VALUE"""),"000325")</f>
        <v>000325</v>
      </c>
      <c r="J204" s="53" t="str">
        <f>IFERROR(__xludf.DUMMYFUNCTION("""COMPUTED_VALUE"""),"25-26")</f>
        <v>25-26</v>
      </c>
    </row>
    <row r="205">
      <c r="A205" s="53" t="str">
        <f>IFERROR(__xludf.DUMMYFUNCTION("""COMPUTED_VALUE"""),"6307759754")</f>
        <v>6307759754</v>
      </c>
      <c r="B205" s="53" t="str">
        <f>IFERROR(__xludf.DUMMYFUNCTION("""COMPUTED_VALUE"""),"Nixon")</f>
        <v>Nixon</v>
      </c>
      <c r="C205" s="53" t="str">
        <f>IFERROR(__xludf.DUMMYFUNCTION("""COMPUTED_VALUE"""),"Patrick")</f>
        <v>Patrick</v>
      </c>
      <c r="D205" s="54">
        <f>IFERROR(__xludf.DUMMYFUNCTION("""COMPUTED_VALUE"""),7.0)</f>
        <v>7</v>
      </c>
      <c r="E205" s="53" t="str">
        <f>IFERROR(__xludf.DUMMYFUNCTION("""COMPUTED_VALUE"""),"M")</f>
        <v>M</v>
      </c>
      <c r="F205" s="53" t="str">
        <f>IFERROR(__xludf.DUMMYFUNCTION("""COMPUTED_VALUE"""),"No, not Hispanic or Latino")</f>
        <v>No, not Hispanic or Latino</v>
      </c>
      <c r="G205" s="53" t="str">
        <f>IFERROR(__xludf.DUMMYFUNCTION("""COMPUTED_VALUE"""),"White")</f>
        <v>White</v>
      </c>
      <c r="H205" s="54">
        <f>IFERROR(__xludf.DUMMYFUNCTION("""COMPUTED_VALUE"""),1099.0)</f>
        <v>1099</v>
      </c>
      <c r="I205" s="53" t="str">
        <f>IFERROR(__xludf.DUMMYFUNCTION("""COMPUTED_VALUE"""),"000329")</f>
        <v>000329</v>
      </c>
      <c r="J205" s="53" t="str">
        <f>IFERROR(__xludf.DUMMYFUNCTION("""COMPUTED_VALUE"""),"25-26")</f>
        <v>25-26</v>
      </c>
    </row>
    <row r="206">
      <c r="A206" s="53" t="str">
        <f>IFERROR(__xludf.DUMMYFUNCTION("""COMPUTED_VALUE"""),"7917307132")</f>
        <v>7917307132</v>
      </c>
      <c r="B206" s="53" t="str">
        <f>IFERROR(__xludf.DUMMYFUNCTION("""COMPUTED_VALUE"""),"Ockner")</f>
        <v>Ockner</v>
      </c>
      <c r="C206" s="53" t="str">
        <f>IFERROR(__xludf.DUMMYFUNCTION("""COMPUTED_VALUE"""),"Myles")</f>
        <v>Myles</v>
      </c>
      <c r="D206" s="54">
        <f>IFERROR(__xludf.DUMMYFUNCTION("""COMPUTED_VALUE"""),7.0)</f>
        <v>7</v>
      </c>
      <c r="E206" s="53" t="str">
        <f>IFERROR(__xludf.DUMMYFUNCTION("""COMPUTED_VALUE"""),"M")</f>
        <v>M</v>
      </c>
      <c r="F206" s="53" t="str">
        <f>IFERROR(__xludf.DUMMYFUNCTION("""COMPUTED_VALUE"""),"No, not Hispanic or Latino")</f>
        <v>No, not Hispanic or Latino</v>
      </c>
      <c r="G206" s="53" t="str">
        <f>IFERROR(__xludf.DUMMYFUNCTION("""COMPUTED_VALUE"""),"White")</f>
        <v>White</v>
      </c>
      <c r="H206" s="54">
        <f>IFERROR(__xludf.DUMMYFUNCTION("""COMPUTED_VALUE"""),1014.0)</f>
        <v>1014</v>
      </c>
      <c r="I206" s="53" t="str">
        <f>IFERROR(__xludf.DUMMYFUNCTION("""COMPUTED_VALUE"""),"000329")</f>
        <v>000329</v>
      </c>
      <c r="J206" s="53" t="str">
        <f>IFERROR(__xludf.DUMMYFUNCTION("""COMPUTED_VALUE"""),"25-26")</f>
        <v>25-26</v>
      </c>
    </row>
    <row r="207">
      <c r="A207" s="53" t="str">
        <f>IFERROR(__xludf.DUMMYFUNCTION("""COMPUTED_VALUE"""),"6632018425")</f>
        <v>6632018425</v>
      </c>
      <c r="B207" s="53" t="str">
        <f>IFERROR(__xludf.DUMMYFUNCTION("""COMPUTED_VALUE"""),"Patel")</f>
        <v>Patel</v>
      </c>
      <c r="C207" s="53" t="str">
        <f>IFERROR(__xludf.DUMMYFUNCTION("""COMPUTED_VALUE"""),"Ava")</f>
        <v>Ava</v>
      </c>
      <c r="D207" s="54">
        <f>IFERROR(__xludf.DUMMYFUNCTION("""COMPUTED_VALUE"""),7.0)</f>
        <v>7</v>
      </c>
      <c r="E207" s="53" t="str">
        <f>IFERROR(__xludf.DUMMYFUNCTION("""COMPUTED_VALUE"""),"F")</f>
        <v>F</v>
      </c>
      <c r="F207" s="53" t="str">
        <f>IFERROR(__xludf.DUMMYFUNCTION("""COMPUTED_VALUE"""),"No, not Hispanic or Latino")</f>
        <v>No, not Hispanic or Latino</v>
      </c>
      <c r="G207" s="53" t="str">
        <f>IFERROR(__xludf.DUMMYFUNCTION("""COMPUTED_VALUE"""),"Asian Indian")</f>
        <v>Asian Indian</v>
      </c>
      <c r="H207" s="54">
        <f>IFERROR(__xludf.DUMMYFUNCTION("""COMPUTED_VALUE"""),1099.0)</f>
        <v>1099</v>
      </c>
      <c r="I207" s="53" t="str">
        <f>IFERROR(__xludf.DUMMYFUNCTION("""COMPUTED_VALUE"""),"000329")</f>
        <v>000329</v>
      </c>
      <c r="J207" s="53" t="str">
        <f>IFERROR(__xludf.DUMMYFUNCTION("""COMPUTED_VALUE"""),"25-26")</f>
        <v>25-26</v>
      </c>
    </row>
    <row r="208">
      <c r="A208" s="53" t="str">
        <f>IFERROR(__xludf.DUMMYFUNCTION("""COMPUTED_VALUE"""),"5749495007")</f>
        <v>5749495007</v>
      </c>
      <c r="B208" s="53" t="str">
        <f>IFERROR(__xludf.DUMMYFUNCTION("""COMPUTED_VALUE"""),"Pathuri")</f>
        <v>Pathuri</v>
      </c>
      <c r="C208" s="53" t="str">
        <f>IFERROR(__xludf.DUMMYFUNCTION("""COMPUTED_VALUE"""),"Piyanshi")</f>
        <v>Piyanshi</v>
      </c>
      <c r="D208" s="54">
        <f>IFERROR(__xludf.DUMMYFUNCTION("""COMPUTED_VALUE"""),7.0)</f>
        <v>7</v>
      </c>
      <c r="E208" s="53" t="str">
        <f>IFERROR(__xludf.DUMMYFUNCTION("""COMPUTED_VALUE"""),"F")</f>
        <v>F</v>
      </c>
      <c r="F208" s="53" t="str">
        <f>IFERROR(__xludf.DUMMYFUNCTION("""COMPUTED_VALUE"""),"No, not Hispanic or Latino")</f>
        <v>No, not Hispanic or Latino</v>
      </c>
      <c r="G208" s="53" t="str">
        <f>IFERROR(__xludf.DUMMYFUNCTION("""COMPUTED_VALUE"""),"Asian Indian")</f>
        <v>Asian Indian</v>
      </c>
      <c r="H208" s="54">
        <f>IFERROR(__xludf.DUMMYFUNCTION("""COMPUTED_VALUE"""),1080.0)</f>
        <v>1080</v>
      </c>
      <c r="I208" s="53" t="str">
        <f>IFERROR(__xludf.DUMMYFUNCTION("""COMPUTED_VALUE"""),"000325")</f>
        <v>000325</v>
      </c>
      <c r="J208" s="53" t="str">
        <f>IFERROR(__xludf.DUMMYFUNCTION("""COMPUTED_VALUE"""),"25-26")</f>
        <v>25-26</v>
      </c>
    </row>
    <row r="209">
      <c r="A209" s="53" t="str">
        <f>IFERROR(__xludf.DUMMYFUNCTION("""COMPUTED_VALUE"""),"4268497476")</f>
        <v>4268497476</v>
      </c>
      <c r="B209" s="53" t="str">
        <f>IFERROR(__xludf.DUMMYFUNCTION("""COMPUTED_VALUE"""),"Pelleriti")</f>
        <v>Pelleriti</v>
      </c>
      <c r="C209" s="53" t="str">
        <f>IFERROR(__xludf.DUMMYFUNCTION("""COMPUTED_VALUE"""),"Evelyn")</f>
        <v>Evelyn</v>
      </c>
      <c r="D209" s="54">
        <f>IFERROR(__xludf.DUMMYFUNCTION("""COMPUTED_VALUE"""),7.0)</f>
        <v>7</v>
      </c>
      <c r="E209" s="53" t="str">
        <f>IFERROR(__xludf.DUMMYFUNCTION("""COMPUTED_VALUE"""),"F")</f>
        <v>F</v>
      </c>
      <c r="F209" s="53" t="str">
        <f>IFERROR(__xludf.DUMMYFUNCTION("""COMPUTED_VALUE"""),"No, not Hispanic or Latino")</f>
        <v>No, not Hispanic or Latino</v>
      </c>
      <c r="G209" s="53" t="str">
        <f>IFERROR(__xludf.DUMMYFUNCTION("""COMPUTED_VALUE"""),"White")</f>
        <v>White</v>
      </c>
      <c r="H209" s="54">
        <f>IFERROR(__xludf.DUMMYFUNCTION("""COMPUTED_VALUE"""),1014.0)</f>
        <v>1014</v>
      </c>
      <c r="I209" s="53" t="str">
        <f>IFERROR(__xludf.DUMMYFUNCTION("""COMPUTED_VALUE"""),"000329")</f>
        <v>000329</v>
      </c>
      <c r="J209" s="53" t="str">
        <f>IFERROR(__xludf.DUMMYFUNCTION("""COMPUTED_VALUE"""),"25-26")</f>
        <v>25-26</v>
      </c>
    </row>
    <row r="210">
      <c r="A210" s="53" t="str">
        <f>IFERROR(__xludf.DUMMYFUNCTION("""COMPUTED_VALUE"""),"5617429007")</f>
        <v>5617429007</v>
      </c>
      <c r="B210" s="53" t="str">
        <f>IFERROR(__xludf.DUMMYFUNCTION("""COMPUTED_VALUE"""),"Phipps")</f>
        <v>Phipps</v>
      </c>
      <c r="C210" s="53" t="str">
        <f>IFERROR(__xludf.DUMMYFUNCTION("""COMPUTED_VALUE"""),"Saoirse")</f>
        <v>Saoirse</v>
      </c>
      <c r="D210" s="54">
        <f>IFERROR(__xludf.DUMMYFUNCTION("""COMPUTED_VALUE"""),7.0)</f>
        <v>7</v>
      </c>
      <c r="E210" s="53" t="str">
        <f>IFERROR(__xludf.DUMMYFUNCTION("""COMPUTED_VALUE"""),"F")</f>
        <v>F</v>
      </c>
      <c r="F210" s="53" t="str">
        <f>IFERROR(__xludf.DUMMYFUNCTION("""COMPUTED_VALUE"""),"No, not Hispanic or Latino")</f>
        <v>No, not Hispanic or Latino</v>
      </c>
      <c r="G210" s="53" t="str">
        <f>IFERROR(__xludf.DUMMYFUNCTION("""COMPUTED_VALUE"""),"White")</f>
        <v>White</v>
      </c>
      <c r="H210" s="54">
        <f>IFERROR(__xludf.DUMMYFUNCTION("""COMPUTED_VALUE"""),1082.0)</f>
        <v>1082</v>
      </c>
      <c r="I210" s="53" t="str">
        <f>IFERROR(__xludf.DUMMYFUNCTION("""COMPUTED_VALUE"""),"000325")</f>
        <v>000325</v>
      </c>
      <c r="J210" s="53" t="str">
        <f>IFERROR(__xludf.DUMMYFUNCTION("""COMPUTED_VALUE"""),"25-26")</f>
        <v>25-26</v>
      </c>
    </row>
    <row r="211">
      <c r="A211" s="53" t="str">
        <f>IFERROR(__xludf.DUMMYFUNCTION("""COMPUTED_VALUE"""),"1606934081")</f>
        <v>1606934081</v>
      </c>
      <c r="B211" s="53" t="str">
        <f>IFERROR(__xludf.DUMMYFUNCTION("""COMPUTED_VALUE"""),"Pomfret")</f>
        <v>Pomfret</v>
      </c>
      <c r="C211" s="53" t="str">
        <f>IFERROR(__xludf.DUMMYFUNCTION("""COMPUTED_VALUE"""),"Vivienne")</f>
        <v>Vivienne</v>
      </c>
      <c r="D211" s="54">
        <f>IFERROR(__xludf.DUMMYFUNCTION("""COMPUTED_VALUE"""),7.0)</f>
        <v>7</v>
      </c>
      <c r="E211" s="53" t="str">
        <f>IFERROR(__xludf.DUMMYFUNCTION("""COMPUTED_VALUE"""),"F")</f>
        <v>F</v>
      </c>
      <c r="F211" s="53" t="str">
        <f>IFERROR(__xludf.DUMMYFUNCTION("""COMPUTED_VALUE"""),"Yes, Hispanic or Latino")</f>
        <v>Yes, Hispanic or Latino</v>
      </c>
      <c r="G211" s="53" t="str">
        <f>IFERROR(__xludf.DUMMYFUNCTION("""COMPUTED_VALUE"""),"White")</f>
        <v>White</v>
      </c>
      <c r="H211" s="54">
        <f>IFERROR(__xludf.DUMMYFUNCTION("""COMPUTED_VALUE"""),1226.0)</f>
        <v>1226</v>
      </c>
      <c r="I211" s="53" t="str">
        <f>IFERROR(__xludf.DUMMYFUNCTION("""COMPUTED_VALUE"""),"000325")</f>
        <v>000325</v>
      </c>
      <c r="J211" s="53" t="str">
        <f>IFERROR(__xludf.DUMMYFUNCTION("""COMPUTED_VALUE"""),"25-26")</f>
        <v>25-26</v>
      </c>
    </row>
    <row r="212">
      <c r="A212" s="53" t="str">
        <f>IFERROR(__xludf.DUMMYFUNCTION("""COMPUTED_VALUE"""),"9437551525")</f>
        <v>9437551525</v>
      </c>
      <c r="B212" s="53" t="str">
        <f>IFERROR(__xludf.DUMMYFUNCTION("""COMPUTED_VALUE"""),"Poojary")</f>
        <v>Poojary</v>
      </c>
      <c r="C212" s="53" t="str">
        <f>IFERROR(__xludf.DUMMYFUNCTION("""COMPUTED_VALUE"""),"Saachi")</f>
        <v>Saachi</v>
      </c>
      <c r="D212" s="54">
        <f>IFERROR(__xludf.DUMMYFUNCTION("""COMPUTED_VALUE"""),7.0)</f>
        <v>7</v>
      </c>
      <c r="E212" s="53" t="str">
        <f>IFERROR(__xludf.DUMMYFUNCTION("""COMPUTED_VALUE"""),"F")</f>
        <v>F</v>
      </c>
      <c r="F212" s="53" t="str">
        <f>IFERROR(__xludf.DUMMYFUNCTION("""COMPUTED_VALUE"""),"No, not Hispanic or Latino")</f>
        <v>No, not Hispanic or Latino</v>
      </c>
      <c r="G212" s="53" t="str">
        <f>IFERROR(__xludf.DUMMYFUNCTION("""COMPUTED_VALUE"""),"Asian Indian")</f>
        <v>Asian Indian</v>
      </c>
      <c r="H212" s="54">
        <f>IFERROR(__xludf.DUMMYFUNCTION("""COMPUTED_VALUE"""),1099.0)</f>
        <v>1099</v>
      </c>
      <c r="I212" s="53" t="str">
        <f>IFERROR(__xludf.DUMMYFUNCTION("""COMPUTED_VALUE"""),"000329")</f>
        <v>000329</v>
      </c>
      <c r="J212" s="53" t="str">
        <f>IFERROR(__xludf.DUMMYFUNCTION("""COMPUTED_VALUE"""),"25-26")</f>
        <v>25-26</v>
      </c>
    </row>
    <row r="213">
      <c r="A213" s="53" t="str">
        <f>IFERROR(__xludf.DUMMYFUNCTION("""COMPUTED_VALUE"""),"5247184680")</f>
        <v>5247184680</v>
      </c>
      <c r="B213" s="53" t="str">
        <f>IFERROR(__xludf.DUMMYFUNCTION("""COMPUTED_VALUE"""),"Powell")</f>
        <v>Powell</v>
      </c>
      <c r="C213" s="53" t="str">
        <f>IFERROR(__xludf.DUMMYFUNCTION("""COMPUTED_VALUE"""),"William")</f>
        <v>William</v>
      </c>
      <c r="D213" s="54">
        <f>IFERROR(__xludf.DUMMYFUNCTION("""COMPUTED_VALUE"""),7.0)</f>
        <v>7</v>
      </c>
      <c r="E213" s="53" t="str">
        <f>IFERROR(__xludf.DUMMYFUNCTION("""COMPUTED_VALUE"""),"M")</f>
        <v>M</v>
      </c>
      <c r="F213" s="53" t="str">
        <f>IFERROR(__xludf.DUMMYFUNCTION("""COMPUTED_VALUE"""),"No, not Hispanic or Latino")</f>
        <v>No, not Hispanic or Latino</v>
      </c>
      <c r="G213" s="53" t="str">
        <f>IFERROR(__xludf.DUMMYFUNCTION("""COMPUTED_VALUE"""),"White")</f>
        <v>White</v>
      </c>
      <c r="H213" s="54">
        <f>IFERROR(__xludf.DUMMYFUNCTION("""COMPUTED_VALUE"""),1014.0)</f>
        <v>1014</v>
      </c>
      <c r="I213" s="53" t="str">
        <f>IFERROR(__xludf.DUMMYFUNCTION("""COMPUTED_VALUE"""),"000329")</f>
        <v>000329</v>
      </c>
      <c r="J213" s="53" t="str">
        <f>IFERROR(__xludf.DUMMYFUNCTION("""COMPUTED_VALUE"""),"25-26")</f>
        <v>25-26</v>
      </c>
    </row>
    <row r="214">
      <c r="A214" s="53" t="str">
        <f>IFERROR(__xludf.DUMMYFUNCTION("""COMPUTED_VALUE"""),"3279478702")</f>
        <v>3279478702</v>
      </c>
      <c r="B214" s="53" t="str">
        <f>IFERROR(__xludf.DUMMYFUNCTION("""COMPUTED_VALUE"""),"Rhodes")</f>
        <v>Rhodes</v>
      </c>
      <c r="C214" s="53" t="str">
        <f>IFERROR(__xludf.DUMMYFUNCTION("""COMPUTED_VALUE"""),"Drake")</f>
        <v>Drake</v>
      </c>
      <c r="D214" s="54">
        <f>IFERROR(__xludf.DUMMYFUNCTION("""COMPUTED_VALUE"""),7.0)</f>
        <v>7</v>
      </c>
      <c r="E214" s="53" t="str">
        <f>IFERROR(__xludf.DUMMYFUNCTION("""COMPUTED_VALUE"""),"M")</f>
        <v>M</v>
      </c>
      <c r="F214" s="53" t="str">
        <f>IFERROR(__xludf.DUMMYFUNCTION("""COMPUTED_VALUE"""),"No, not Hispanic or Latino")</f>
        <v>No, not Hispanic or Latino</v>
      </c>
      <c r="G214" s="53" t="str">
        <f>IFERROR(__xludf.DUMMYFUNCTION("""COMPUTED_VALUE"""),"White")</f>
        <v>White</v>
      </c>
      <c r="H214" s="54">
        <f>IFERROR(__xludf.DUMMYFUNCTION("""COMPUTED_VALUE"""),1099.0)</f>
        <v>1099</v>
      </c>
      <c r="I214" s="53" t="str">
        <f>IFERROR(__xludf.DUMMYFUNCTION("""COMPUTED_VALUE"""),"000329")</f>
        <v>000329</v>
      </c>
      <c r="J214" s="53" t="str">
        <f>IFERROR(__xludf.DUMMYFUNCTION("""COMPUTED_VALUE"""),"25-26")</f>
        <v>25-26</v>
      </c>
    </row>
    <row r="215">
      <c r="A215" s="53" t="str">
        <f>IFERROR(__xludf.DUMMYFUNCTION("""COMPUTED_VALUE"""),"2734778485")</f>
        <v>2734778485</v>
      </c>
      <c r="B215" s="53" t="str">
        <f>IFERROR(__xludf.DUMMYFUNCTION("""COMPUTED_VALUE"""),"Rigsby")</f>
        <v>Rigsby</v>
      </c>
      <c r="C215" s="53" t="str">
        <f>IFERROR(__xludf.DUMMYFUNCTION("""COMPUTED_VALUE"""),"Grant")</f>
        <v>Grant</v>
      </c>
      <c r="D215" s="54">
        <f>IFERROR(__xludf.DUMMYFUNCTION("""COMPUTED_VALUE"""),7.0)</f>
        <v>7</v>
      </c>
      <c r="E215" s="53" t="str">
        <f>IFERROR(__xludf.DUMMYFUNCTION("""COMPUTED_VALUE"""),"M")</f>
        <v>M</v>
      </c>
      <c r="F215" s="53" t="str">
        <f>IFERROR(__xludf.DUMMYFUNCTION("""COMPUTED_VALUE"""),"No, not Hispanic or Latino")</f>
        <v>No, not Hispanic or Latino</v>
      </c>
      <c r="G215" s="53" t="str">
        <f>IFERROR(__xludf.DUMMYFUNCTION("""COMPUTED_VALUE"""),"Black or African American")</f>
        <v>Black or African American</v>
      </c>
      <c r="H215" s="54">
        <f>IFERROR(__xludf.DUMMYFUNCTION("""COMPUTED_VALUE"""),1099.0)</f>
        <v>1099</v>
      </c>
      <c r="I215" s="53" t="str">
        <f>IFERROR(__xludf.DUMMYFUNCTION("""COMPUTED_VALUE"""),"000329")</f>
        <v>000329</v>
      </c>
      <c r="J215" s="53" t="str">
        <f>IFERROR(__xludf.DUMMYFUNCTION("""COMPUTED_VALUE"""),"25-26")</f>
        <v>25-26</v>
      </c>
    </row>
    <row r="216">
      <c r="A216" s="53" t="str">
        <f>IFERROR(__xludf.DUMMYFUNCTION("""COMPUTED_VALUE"""),"2730077965")</f>
        <v>2730077965</v>
      </c>
      <c r="B216" s="53" t="str">
        <f>IFERROR(__xludf.DUMMYFUNCTION("""COMPUTED_VALUE"""),"Rossetti")</f>
        <v>Rossetti</v>
      </c>
      <c r="C216" s="53" t="str">
        <f>IFERROR(__xludf.DUMMYFUNCTION("""COMPUTED_VALUE"""),"Margot")</f>
        <v>Margot</v>
      </c>
      <c r="D216" s="54">
        <f>IFERROR(__xludf.DUMMYFUNCTION("""COMPUTED_VALUE"""),7.0)</f>
        <v>7</v>
      </c>
      <c r="E216" s="53" t="str">
        <f>IFERROR(__xludf.DUMMYFUNCTION("""COMPUTED_VALUE"""),"F")</f>
        <v>F</v>
      </c>
      <c r="F216" s="53" t="str">
        <f>IFERROR(__xludf.DUMMYFUNCTION("""COMPUTED_VALUE"""),"No, not Hispanic or Latino")</f>
        <v>No, not Hispanic or Latino</v>
      </c>
      <c r="G216" s="53" t="str">
        <f>IFERROR(__xludf.DUMMYFUNCTION("""COMPUTED_VALUE"""),"White")</f>
        <v>White</v>
      </c>
      <c r="H216" s="54">
        <f>IFERROR(__xludf.DUMMYFUNCTION("""COMPUTED_VALUE"""),1099.0)</f>
        <v>1099</v>
      </c>
      <c r="I216" s="53" t="str">
        <f>IFERROR(__xludf.DUMMYFUNCTION("""COMPUTED_VALUE"""),"000329")</f>
        <v>000329</v>
      </c>
      <c r="J216" s="53" t="str">
        <f>IFERROR(__xludf.DUMMYFUNCTION("""COMPUTED_VALUE"""),"25-26")</f>
        <v>25-26</v>
      </c>
    </row>
    <row r="217">
      <c r="A217" s="53" t="str">
        <f>IFERROR(__xludf.DUMMYFUNCTION("""COMPUTED_VALUE"""),"1496921488")</f>
        <v>1496921488</v>
      </c>
      <c r="B217" s="53" t="str">
        <f>IFERROR(__xludf.DUMMYFUNCTION("""COMPUTED_VALUE"""),"Shea")</f>
        <v>Shea</v>
      </c>
      <c r="C217" s="53" t="str">
        <f>IFERROR(__xludf.DUMMYFUNCTION("""COMPUTED_VALUE"""),"Sawyer")</f>
        <v>Sawyer</v>
      </c>
      <c r="D217" s="54">
        <f>IFERROR(__xludf.DUMMYFUNCTION("""COMPUTED_VALUE"""),7.0)</f>
        <v>7</v>
      </c>
      <c r="E217" s="53" t="str">
        <f>IFERROR(__xludf.DUMMYFUNCTION("""COMPUTED_VALUE"""),"M")</f>
        <v>M</v>
      </c>
      <c r="F217" s="53" t="str">
        <f>IFERROR(__xludf.DUMMYFUNCTION("""COMPUTED_VALUE"""),"No, not Hispanic or Latino")</f>
        <v>No, not Hispanic or Latino</v>
      </c>
      <c r="G217" s="53" t="str">
        <f>IFERROR(__xludf.DUMMYFUNCTION("""COMPUTED_VALUE"""),"White")</f>
        <v>White</v>
      </c>
      <c r="H217" s="54">
        <f>IFERROR(__xludf.DUMMYFUNCTION("""COMPUTED_VALUE"""),1082.0)</f>
        <v>1082</v>
      </c>
      <c r="I217" s="53" t="str">
        <f>IFERROR(__xludf.DUMMYFUNCTION("""COMPUTED_VALUE"""),"000325")</f>
        <v>000325</v>
      </c>
      <c r="J217" s="53" t="str">
        <f>IFERROR(__xludf.DUMMYFUNCTION("""COMPUTED_VALUE"""),"25-26")</f>
        <v>25-26</v>
      </c>
    </row>
    <row r="218">
      <c r="A218" s="53" t="str">
        <f>IFERROR(__xludf.DUMMYFUNCTION("""COMPUTED_VALUE"""),"9754306727")</f>
        <v>9754306727</v>
      </c>
      <c r="B218" s="53" t="str">
        <f>IFERROR(__xludf.DUMMYFUNCTION("""COMPUTED_VALUE"""),"Shuman")</f>
        <v>Shuman</v>
      </c>
      <c r="C218" s="53" t="str">
        <f>IFERROR(__xludf.DUMMYFUNCTION("""COMPUTED_VALUE"""),"Audrey")</f>
        <v>Audrey</v>
      </c>
      <c r="D218" s="54">
        <f>IFERROR(__xludf.DUMMYFUNCTION("""COMPUTED_VALUE"""),7.0)</f>
        <v>7</v>
      </c>
      <c r="E218" s="53" t="str">
        <f>IFERROR(__xludf.DUMMYFUNCTION("""COMPUTED_VALUE"""),"F")</f>
        <v>F</v>
      </c>
      <c r="F218" s="53" t="str">
        <f>IFERROR(__xludf.DUMMYFUNCTION("""COMPUTED_VALUE"""),"No, not Hispanic or Latino")</f>
        <v>No, not Hispanic or Latino</v>
      </c>
      <c r="G218" s="53" t="str">
        <f>IFERROR(__xludf.DUMMYFUNCTION("""COMPUTED_VALUE"""),"White")</f>
        <v>White</v>
      </c>
      <c r="H218" s="54">
        <f>IFERROR(__xludf.DUMMYFUNCTION("""COMPUTED_VALUE"""),1014.0)</f>
        <v>1014</v>
      </c>
      <c r="I218" s="53" t="str">
        <f>IFERROR(__xludf.DUMMYFUNCTION("""COMPUTED_VALUE"""),"000329")</f>
        <v>000329</v>
      </c>
      <c r="J218" s="53" t="str">
        <f>IFERROR(__xludf.DUMMYFUNCTION("""COMPUTED_VALUE"""),"25-26")</f>
        <v>25-26</v>
      </c>
    </row>
    <row r="219">
      <c r="A219" s="53" t="str">
        <f>IFERROR(__xludf.DUMMYFUNCTION("""COMPUTED_VALUE"""),"8008733531")</f>
        <v>8008733531</v>
      </c>
      <c r="B219" s="53" t="str">
        <f>IFERROR(__xludf.DUMMYFUNCTION("""COMPUTED_VALUE"""),"Silverberg")</f>
        <v>Silverberg</v>
      </c>
      <c r="C219" s="53" t="str">
        <f>IFERROR(__xludf.DUMMYFUNCTION("""COMPUTED_VALUE"""),"Abraham")</f>
        <v>Abraham</v>
      </c>
      <c r="D219" s="54">
        <f>IFERROR(__xludf.DUMMYFUNCTION("""COMPUTED_VALUE"""),7.0)</f>
        <v>7</v>
      </c>
      <c r="E219" s="53" t="str">
        <f>IFERROR(__xludf.DUMMYFUNCTION("""COMPUTED_VALUE"""),"M")</f>
        <v>M</v>
      </c>
      <c r="F219" s="53" t="str">
        <f>IFERROR(__xludf.DUMMYFUNCTION("""COMPUTED_VALUE"""),"No, not Hispanic or Latino")</f>
        <v>No, not Hispanic or Latino</v>
      </c>
      <c r="G219" s="53" t="str">
        <f>IFERROR(__xludf.DUMMYFUNCTION("""COMPUTED_VALUE"""),"White")</f>
        <v>White</v>
      </c>
      <c r="H219" s="54">
        <f>IFERROR(__xludf.DUMMYFUNCTION("""COMPUTED_VALUE"""),1099.0)</f>
        <v>1099</v>
      </c>
      <c r="I219" s="53" t="str">
        <f>IFERROR(__xludf.DUMMYFUNCTION("""COMPUTED_VALUE"""),"000329")</f>
        <v>000329</v>
      </c>
      <c r="J219" s="53" t="str">
        <f>IFERROR(__xludf.DUMMYFUNCTION("""COMPUTED_VALUE"""),"25-26")</f>
        <v>25-26</v>
      </c>
    </row>
    <row r="220">
      <c r="A220" s="53" t="str">
        <f>IFERROR(__xludf.DUMMYFUNCTION("""COMPUTED_VALUE"""),"5630256180")</f>
        <v>5630256180</v>
      </c>
      <c r="B220" s="53" t="str">
        <f>IFERROR(__xludf.DUMMYFUNCTION("""COMPUTED_VALUE"""),"Singh")</f>
        <v>Singh</v>
      </c>
      <c r="C220" s="53" t="str">
        <f>IFERROR(__xludf.DUMMYFUNCTION("""COMPUTED_VALUE"""),"Arjun")</f>
        <v>Arjun</v>
      </c>
      <c r="D220" s="54">
        <f>IFERROR(__xludf.DUMMYFUNCTION("""COMPUTED_VALUE"""),7.0)</f>
        <v>7</v>
      </c>
      <c r="E220" s="53" t="str">
        <f>IFERROR(__xludf.DUMMYFUNCTION("""COMPUTED_VALUE"""),"M")</f>
        <v>M</v>
      </c>
      <c r="F220" s="53" t="str">
        <f>IFERROR(__xludf.DUMMYFUNCTION("""COMPUTED_VALUE"""),"No, not Hispanic or Latino")</f>
        <v>No, not Hispanic or Latino</v>
      </c>
      <c r="G220" s="53" t="str">
        <f>IFERROR(__xludf.DUMMYFUNCTION("""COMPUTED_VALUE"""),"Asian Indian")</f>
        <v>Asian Indian</v>
      </c>
      <c r="H220" s="54">
        <f>IFERROR(__xludf.DUMMYFUNCTION("""COMPUTED_VALUE"""),1081.0)</f>
        <v>1081</v>
      </c>
      <c r="I220" s="53" t="str">
        <f>IFERROR(__xludf.DUMMYFUNCTION("""COMPUTED_VALUE"""),"000325")</f>
        <v>000325</v>
      </c>
      <c r="J220" s="53" t="str">
        <f>IFERROR(__xludf.DUMMYFUNCTION("""COMPUTED_VALUE"""),"25-26")</f>
        <v>25-26</v>
      </c>
    </row>
    <row r="221">
      <c r="A221" s="53" t="str">
        <f>IFERROR(__xludf.DUMMYFUNCTION("""COMPUTED_VALUE"""),"4419962155")</f>
        <v>4419962155</v>
      </c>
      <c r="B221" s="53" t="str">
        <f>IFERROR(__xludf.DUMMYFUNCTION("""COMPUTED_VALUE"""),"Stern")</f>
        <v>Stern</v>
      </c>
      <c r="C221" s="53" t="str">
        <f>IFERROR(__xludf.DUMMYFUNCTION("""COMPUTED_VALUE"""),"Talia")</f>
        <v>Talia</v>
      </c>
      <c r="D221" s="54">
        <f>IFERROR(__xludf.DUMMYFUNCTION("""COMPUTED_VALUE"""),7.0)</f>
        <v>7</v>
      </c>
      <c r="E221" s="53" t="str">
        <f>IFERROR(__xludf.DUMMYFUNCTION("""COMPUTED_VALUE"""),"F")</f>
        <v>F</v>
      </c>
      <c r="F221" s="53" t="str">
        <f>IFERROR(__xludf.DUMMYFUNCTION("""COMPUTED_VALUE"""),"No, not Hispanic or Latino")</f>
        <v>No, not Hispanic or Latino</v>
      </c>
      <c r="G221" s="53" t="str">
        <f>IFERROR(__xludf.DUMMYFUNCTION("""COMPUTED_VALUE"""),"White")</f>
        <v>White</v>
      </c>
      <c r="H221" s="54">
        <f>IFERROR(__xludf.DUMMYFUNCTION("""COMPUTED_VALUE"""),1223.0)</f>
        <v>1223</v>
      </c>
      <c r="I221" s="53" t="str">
        <f>IFERROR(__xludf.DUMMYFUNCTION("""COMPUTED_VALUE"""),"000325")</f>
        <v>000325</v>
      </c>
      <c r="J221" s="53" t="str">
        <f>IFERROR(__xludf.DUMMYFUNCTION("""COMPUTED_VALUE"""),"25-26")</f>
        <v>25-26</v>
      </c>
    </row>
    <row r="222">
      <c r="A222" s="53" t="str">
        <f>IFERROR(__xludf.DUMMYFUNCTION("""COMPUTED_VALUE"""),"5931543947")</f>
        <v>5931543947</v>
      </c>
      <c r="B222" s="53" t="str">
        <f>IFERROR(__xludf.DUMMYFUNCTION("""COMPUTED_VALUE"""),"Thai")</f>
        <v>Thai</v>
      </c>
      <c r="C222" s="53" t="str">
        <f>IFERROR(__xludf.DUMMYFUNCTION("""COMPUTED_VALUE"""),"Inara")</f>
        <v>Inara</v>
      </c>
      <c r="D222" s="54">
        <f>IFERROR(__xludf.DUMMYFUNCTION("""COMPUTED_VALUE"""),7.0)</f>
        <v>7</v>
      </c>
      <c r="E222" s="53" t="str">
        <f>IFERROR(__xludf.DUMMYFUNCTION("""COMPUTED_VALUE"""),"F")</f>
        <v>F</v>
      </c>
      <c r="F222" s="53" t="str">
        <f>IFERROR(__xludf.DUMMYFUNCTION("""COMPUTED_VALUE"""),"No, not Hispanic or Latino")</f>
        <v>No, not Hispanic or Latino</v>
      </c>
      <c r="G222" s="53" t="str">
        <f>IFERROR(__xludf.DUMMYFUNCTION("""COMPUTED_VALUE"""),"Chinese")</f>
        <v>Chinese</v>
      </c>
      <c r="H222" s="54">
        <f>IFERROR(__xludf.DUMMYFUNCTION("""COMPUTED_VALUE"""),1014.0)</f>
        <v>1014</v>
      </c>
      <c r="I222" s="53" t="str">
        <f>IFERROR(__xludf.DUMMYFUNCTION("""COMPUTED_VALUE"""),"000329")</f>
        <v>000329</v>
      </c>
      <c r="J222" s="53" t="str">
        <f>IFERROR(__xludf.DUMMYFUNCTION("""COMPUTED_VALUE"""),"25-26")</f>
        <v>25-26</v>
      </c>
    </row>
    <row r="223">
      <c r="A223" s="53" t="str">
        <f>IFERROR(__xludf.DUMMYFUNCTION("""COMPUTED_VALUE"""),"7115642831")</f>
        <v>7115642831</v>
      </c>
      <c r="B223" s="53" t="str">
        <f>IFERROR(__xludf.DUMMYFUNCTION("""COMPUTED_VALUE"""),"Tidwell")</f>
        <v>Tidwell</v>
      </c>
      <c r="C223" s="53" t="str">
        <f>IFERROR(__xludf.DUMMYFUNCTION("""COMPUTED_VALUE"""),"Luna")</f>
        <v>Luna</v>
      </c>
      <c r="D223" s="54">
        <f>IFERROR(__xludf.DUMMYFUNCTION("""COMPUTED_VALUE"""),7.0)</f>
        <v>7</v>
      </c>
      <c r="E223" s="53" t="str">
        <f>IFERROR(__xludf.DUMMYFUNCTION("""COMPUTED_VALUE"""),"F")</f>
        <v>F</v>
      </c>
      <c r="F223" s="53" t="str">
        <f>IFERROR(__xludf.DUMMYFUNCTION("""COMPUTED_VALUE"""),"Unknown/Declined to State")</f>
        <v>Unknown/Declined to State</v>
      </c>
      <c r="G223" s="53" t="str">
        <f>IFERROR(__xludf.DUMMYFUNCTION("""COMPUTED_VALUE"""),"White")</f>
        <v>White</v>
      </c>
      <c r="H223" s="54">
        <f>IFERROR(__xludf.DUMMYFUNCTION("""COMPUTED_VALUE"""),1082.0)</f>
        <v>1082</v>
      </c>
      <c r="I223" s="53" t="str">
        <f>IFERROR(__xludf.DUMMYFUNCTION("""COMPUTED_VALUE"""),"000325")</f>
        <v>000325</v>
      </c>
      <c r="J223" s="53" t="str">
        <f>IFERROR(__xludf.DUMMYFUNCTION("""COMPUTED_VALUE"""),"25-26")</f>
        <v>25-26</v>
      </c>
    </row>
    <row r="224">
      <c r="A224" s="53" t="str">
        <f>IFERROR(__xludf.DUMMYFUNCTION("""COMPUTED_VALUE"""),"1278863098")</f>
        <v>1278863098</v>
      </c>
      <c r="B224" s="53" t="str">
        <f>IFERROR(__xludf.DUMMYFUNCTION("""COMPUTED_VALUE"""),"Troy")</f>
        <v>Troy</v>
      </c>
      <c r="C224" s="53" t="str">
        <f>IFERROR(__xludf.DUMMYFUNCTION("""COMPUTED_VALUE"""),"Rya")</f>
        <v>Rya</v>
      </c>
      <c r="D224" s="54">
        <f>IFERROR(__xludf.DUMMYFUNCTION("""COMPUTED_VALUE"""),7.0)</f>
        <v>7</v>
      </c>
      <c r="E224" s="53" t="str">
        <f>IFERROR(__xludf.DUMMYFUNCTION("""COMPUTED_VALUE"""),"F")</f>
        <v>F</v>
      </c>
      <c r="F224" s="53" t="str">
        <f>IFERROR(__xludf.DUMMYFUNCTION("""COMPUTED_VALUE"""),"No, not Hispanic or Latino")</f>
        <v>No, not Hispanic or Latino</v>
      </c>
      <c r="G224" s="53" t="str">
        <f>IFERROR(__xludf.DUMMYFUNCTION("""COMPUTED_VALUE"""),"White")</f>
        <v>White</v>
      </c>
      <c r="H224" s="54">
        <f>IFERROR(__xludf.DUMMYFUNCTION("""COMPUTED_VALUE"""),1099.0)</f>
        <v>1099</v>
      </c>
      <c r="I224" s="53" t="str">
        <f>IFERROR(__xludf.DUMMYFUNCTION("""COMPUTED_VALUE"""),"000329")</f>
        <v>000329</v>
      </c>
      <c r="J224" s="53" t="str">
        <f>IFERROR(__xludf.DUMMYFUNCTION("""COMPUTED_VALUE"""),"25-26")</f>
        <v>25-26</v>
      </c>
    </row>
    <row r="225">
      <c r="A225" s="53" t="str">
        <f>IFERROR(__xludf.DUMMYFUNCTION("""COMPUTED_VALUE"""),"7406873730")</f>
        <v>7406873730</v>
      </c>
      <c r="B225" s="53" t="str">
        <f>IFERROR(__xludf.DUMMYFUNCTION("""COMPUTED_VALUE"""),"Uppendahl")</f>
        <v>Uppendahl</v>
      </c>
      <c r="C225" s="53" t="str">
        <f>IFERROR(__xludf.DUMMYFUNCTION("""COMPUTED_VALUE"""),"Levi")</f>
        <v>Levi</v>
      </c>
      <c r="D225" s="54">
        <f>IFERROR(__xludf.DUMMYFUNCTION("""COMPUTED_VALUE"""),7.0)</f>
        <v>7</v>
      </c>
      <c r="E225" s="53" t="str">
        <f>IFERROR(__xludf.DUMMYFUNCTION("""COMPUTED_VALUE"""),"M")</f>
        <v>M</v>
      </c>
      <c r="F225" s="53" t="str">
        <f>IFERROR(__xludf.DUMMYFUNCTION("""COMPUTED_VALUE"""),"No, not Hispanic or Latino")</f>
        <v>No, not Hispanic or Latino</v>
      </c>
      <c r="G225" s="53" t="str">
        <f>IFERROR(__xludf.DUMMYFUNCTION("""COMPUTED_VALUE"""),"White")</f>
        <v>White</v>
      </c>
      <c r="H225" s="54">
        <f>IFERROR(__xludf.DUMMYFUNCTION("""COMPUTED_VALUE"""),1099.0)</f>
        <v>1099</v>
      </c>
      <c r="I225" s="53" t="str">
        <f>IFERROR(__xludf.DUMMYFUNCTION("""COMPUTED_VALUE"""),"000329")</f>
        <v>000329</v>
      </c>
      <c r="J225" s="53" t="str">
        <f>IFERROR(__xludf.DUMMYFUNCTION("""COMPUTED_VALUE"""),"25-26")</f>
        <v>25-26</v>
      </c>
    </row>
    <row r="226">
      <c r="A226" s="53" t="str">
        <f>IFERROR(__xludf.DUMMYFUNCTION("""COMPUTED_VALUE"""),"7611636846")</f>
        <v>7611636846</v>
      </c>
      <c r="B226" s="53" t="str">
        <f>IFERROR(__xludf.DUMMYFUNCTION("""COMPUTED_VALUE"""),"Van Rooyen")</f>
        <v>Van Rooyen</v>
      </c>
      <c r="C226" s="53" t="str">
        <f>IFERROR(__xludf.DUMMYFUNCTION("""COMPUTED_VALUE"""),"Maya")</f>
        <v>Maya</v>
      </c>
      <c r="D226" s="54">
        <f>IFERROR(__xludf.DUMMYFUNCTION("""COMPUTED_VALUE"""),7.0)</f>
        <v>7</v>
      </c>
      <c r="E226" s="53" t="str">
        <f>IFERROR(__xludf.DUMMYFUNCTION("""COMPUTED_VALUE"""),"F")</f>
        <v>F</v>
      </c>
      <c r="F226" s="53" t="str">
        <f>IFERROR(__xludf.DUMMYFUNCTION("""COMPUTED_VALUE"""),"No, not Hispanic or Latino")</f>
        <v>No, not Hispanic or Latino</v>
      </c>
      <c r="G226" s="53" t="str">
        <f>IFERROR(__xludf.DUMMYFUNCTION("""COMPUTED_VALUE"""),"Black or African American")</f>
        <v>Black or African American</v>
      </c>
      <c r="H226" s="54">
        <f>IFERROR(__xludf.DUMMYFUNCTION("""COMPUTED_VALUE"""),1226.0)</f>
        <v>1226</v>
      </c>
      <c r="I226" s="53" t="str">
        <f>IFERROR(__xludf.DUMMYFUNCTION("""COMPUTED_VALUE"""),"000325")</f>
        <v>000325</v>
      </c>
      <c r="J226" s="53" t="str">
        <f>IFERROR(__xludf.DUMMYFUNCTION("""COMPUTED_VALUE"""),"25-26")</f>
        <v>25-26</v>
      </c>
    </row>
    <row r="227">
      <c r="A227" s="53" t="str">
        <f>IFERROR(__xludf.DUMMYFUNCTION("""COMPUTED_VALUE"""),"3110316963")</f>
        <v>3110316963</v>
      </c>
      <c r="B227" s="53" t="str">
        <f>IFERROR(__xludf.DUMMYFUNCTION("""COMPUTED_VALUE"""),"Vilar")</f>
        <v>Vilar</v>
      </c>
      <c r="C227" s="53" t="str">
        <f>IFERROR(__xludf.DUMMYFUNCTION("""COMPUTED_VALUE"""),"Samuel")</f>
        <v>Samuel</v>
      </c>
      <c r="D227" s="54">
        <f>IFERROR(__xludf.DUMMYFUNCTION("""COMPUTED_VALUE"""),7.0)</f>
        <v>7</v>
      </c>
      <c r="E227" s="53" t="str">
        <f>IFERROR(__xludf.DUMMYFUNCTION("""COMPUTED_VALUE"""),"M")</f>
        <v>M</v>
      </c>
      <c r="F227" s="53" t="str">
        <f>IFERROR(__xludf.DUMMYFUNCTION("""COMPUTED_VALUE"""),"No, not Hispanic or Latino")</f>
        <v>No, not Hispanic or Latino</v>
      </c>
      <c r="G227" s="53" t="str">
        <f>IFERROR(__xludf.DUMMYFUNCTION("""COMPUTED_VALUE"""),"White")</f>
        <v>White</v>
      </c>
      <c r="H227" s="54">
        <f>IFERROR(__xludf.DUMMYFUNCTION("""COMPUTED_VALUE"""),1081.0)</f>
        <v>1081</v>
      </c>
      <c r="I227" s="53" t="str">
        <f>IFERROR(__xludf.DUMMYFUNCTION("""COMPUTED_VALUE"""),"000325")</f>
        <v>000325</v>
      </c>
      <c r="J227" s="53" t="str">
        <f>IFERROR(__xludf.DUMMYFUNCTION("""COMPUTED_VALUE"""),"25-26")</f>
        <v>25-26</v>
      </c>
    </row>
    <row r="228">
      <c r="A228" s="53" t="str">
        <f>IFERROR(__xludf.DUMMYFUNCTION("""COMPUTED_VALUE"""),"5904570025")</f>
        <v>5904570025</v>
      </c>
      <c r="B228" s="53" t="str">
        <f>IFERROR(__xludf.DUMMYFUNCTION("""COMPUTED_VALUE"""),"Wagner")</f>
        <v>Wagner</v>
      </c>
      <c r="C228" s="53" t="str">
        <f>IFERROR(__xludf.DUMMYFUNCTION("""COMPUTED_VALUE"""),"Margaret")</f>
        <v>Margaret</v>
      </c>
      <c r="D228" s="54">
        <f>IFERROR(__xludf.DUMMYFUNCTION("""COMPUTED_VALUE"""),7.0)</f>
        <v>7</v>
      </c>
      <c r="E228" s="53" t="str">
        <f>IFERROR(__xludf.DUMMYFUNCTION("""COMPUTED_VALUE"""),"F")</f>
        <v>F</v>
      </c>
      <c r="F228" s="53" t="str">
        <f>IFERROR(__xludf.DUMMYFUNCTION("""COMPUTED_VALUE"""),"No, not Hispanic or Latino")</f>
        <v>No, not Hispanic or Latino</v>
      </c>
      <c r="G228" s="53" t="str">
        <f>IFERROR(__xludf.DUMMYFUNCTION("""COMPUTED_VALUE"""),"White")</f>
        <v>White</v>
      </c>
      <c r="H228" s="54">
        <f>IFERROR(__xludf.DUMMYFUNCTION("""COMPUTED_VALUE"""),1080.0)</f>
        <v>1080</v>
      </c>
      <c r="I228" s="53" t="str">
        <f>IFERROR(__xludf.DUMMYFUNCTION("""COMPUTED_VALUE"""),"000325")</f>
        <v>000325</v>
      </c>
      <c r="J228" s="53" t="str">
        <f>IFERROR(__xludf.DUMMYFUNCTION("""COMPUTED_VALUE"""),"25-26")</f>
        <v>25-26</v>
      </c>
    </row>
    <row r="229">
      <c r="A229" s="53" t="str">
        <f>IFERROR(__xludf.DUMMYFUNCTION("""COMPUTED_VALUE"""),"5954192010")</f>
        <v>5954192010</v>
      </c>
      <c r="B229" s="53" t="str">
        <f>IFERROR(__xludf.DUMMYFUNCTION("""COMPUTED_VALUE"""),"Weisshaar")</f>
        <v>Weisshaar</v>
      </c>
      <c r="C229" s="53" t="str">
        <f>IFERROR(__xludf.DUMMYFUNCTION("""COMPUTED_VALUE"""),"Harlow")</f>
        <v>Harlow</v>
      </c>
      <c r="D229" s="54">
        <f>IFERROR(__xludf.DUMMYFUNCTION("""COMPUTED_VALUE"""),7.0)</f>
        <v>7</v>
      </c>
      <c r="E229" s="53" t="str">
        <f>IFERROR(__xludf.DUMMYFUNCTION("""COMPUTED_VALUE"""),"F")</f>
        <v>F</v>
      </c>
      <c r="F229" s="53" t="str">
        <f>IFERROR(__xludf.DUMMYFUNCTION("""COMPUTED_VALUE"""),"No, not Hispanic or Latino")</f>
        <v>No, not Hispanic or Latino</v>
      </c>
      <c r="G229" s="53" t="str">
        <f>IFERROR(__xludf.DUMMYFUNCTION("""COMPUTED_VALUE"""),"White")</f>
        <v>White</v>
      </c>
      <c r="H229" s="54">
        <f>IFERROR(__xludf.DUMMYFUNCTION("""COMPUTED_VALUE"""),1223.0)</f>
        <v>1223</v>
      </c>
      <c r="I229" s="53" t="str">
        <f>IFERROR(__xludf.DUMMYFUNCTION("""COMPUTED_VALUE"""),"000325")</f>
        <v>000325</v>
      </c>
      <c r="J229" s="53" t="str">
        <f>IFERROR(__xludf.DUMMYFUNCTION("""COMPUTED_VALUE"""),"25-26")</f>
        <v>25-26</v>
      </c>
    </row>
    <row r="230">
      <c r="A230" s="53" t="str">
        <f>IFERROR(__xludf.DUMMYFUNCTION("""COMPUTED_VALUE"""),"9727209753")</f>
        <v>9727209753</v>
      </c>
      <c r="B230" s="53" t="str">
        <f>IFERROR(__xludf.DUMMYFUNCTION("""COMPUTED_VALUE"""),"Wells")</f>
        <v>Wells</v>
      </c>
      <c r="C230" s="53" t="str">
        <f>IFERROR(__xludf.DUMMYFUNCTION("""COMPUTED_VALUE"""),"Roland")</f>
        <v>Roland</v>
      </c>
      <c r="D230" s="54">
        <f>IFERROR(__xludf.DUMMYFUNCTION("""COMPUTED_VALUE"""),7.0)</f>
        <v>7</v>
      </c>
      <c r="E230" s="53" t="str">
        <f>IFERROR(__xludf.DUMMYFUNCTION("""COMPUTED_VALUE"""),"M")</f>
        <v>M</v>
      </c>
      <c r="F230" s="53" t="str">
        <f>IFERROR(__xludf.DUMMYFUNCTION("""COMPUTED_VALUE"""),"No, not Hispanic or Latino")</f>
        <v>No, not Hispanic or Latino</v>
      </c>
      <c r="G230" s="53" t="str">
        <f>IFERROR(__xludf.DUMMYFUNCTION("""COMPUTED_VALUE"""),"White")</f>
        <v>White</v>
      </c>
      <c r="H230" s="54">
        <f>IFERROR(__xludf.DUMMYFUNCTION("""COMPUTED_VALUE"""),1080.0)</f>
        <v>1080</v>
      </c>
      <c r="I230" s="53" t="str">
        <f>IFERROR(__xludf.DUMMYFUNCTION("""COMPUTED_VALUE"""),"000325")</f>
        <v>000325</v>
      </c>
      <c r="J230" s="53" t="str">
        <f>IFERROR(__xludf.DUMMYFUNCTION("""COMPUTED_VALUE"""),"25-26")</f>
        <v>25-26</v>
      </c>
    </row>
    <row r="231">
      <c r="A231" s="53" t="str">
        <f>IFERROR(__xludf.DUMMYFUNCTION("""COMPUTED_VALUE"""),"7611438137")</f>
        <v>7611438137</v>
      </c>
      <c r="B231" s="53" t="str">
        <f>IFERROR(__xludf.DUMMYFUNCTION("""COMPUTED_VALUE"""),"Whaley")</f>
        <v>Whaley</v>
      </c>
      <c r="C231" s="53" t="str">
        <f>IFERROR(__xludf.DUMMYFUNCTION("""COMPUTED_VALUE"""),"Grayson")</f>
        <v>Grayson</v>
      </c>
      <c r="D231" s="54">
        <f>IFERROR(__xludf.DUMMYFUNCTION("""COMPUTED_VALUE"""),7.0)</f>
        <v>7</v>
      </c>
      <c r="E231" s="53" t="str">
        <f>IFERROR(__xludf.DUMMYFUNCTION("""COMPUTED_VALUE"""),"M")</f>
        <v>M</v>
      </c>
      <c r="F231" s="53" t="str">
        <f>IFERROR(__xludf.DUMMYFUNCTION("""COMPUTED_VALUE"""),"No, not Hispanic or Latino")</f>
        <v>No, not Hispanic or Latino</v>
      </c>
      <c r="G231" s="53" t="str">
        <f>IFERROR(__xludf.DUMMYFUNCTION("""COMPUTED_VALUE"""),"White")</f>
        <v>White</v>
      </c>
      <c r="H231" s="54">
        <f>IFERROR(__xludf.DUMMYFUNCTION("""COMPUTED_VALUE"""),1014.0)</f>
        <v>1014</v>
      </c>
      <c r="I231" s="53" t="str">
        <f>IFERROR(__xludf.DUMMYFUNCTION("""COMPUTED_VALUE"""),"000329")</f>
        <v>000329</v>
      </c>
      <c r="J231" s="53" t="str">
        <f>IFERROR(__xludf.DUMMYFUNCTION("""COMPUTED_VALUE"""),"25-26")</f>
        <v>25-26</v>
      </c>
    </row>
    <row r="232">
      <c r="A232" s="53" t="str">
        <f>IFERROR(__xludf.DUMMYFUNCTION("""COMPUTED_VALUE"""),"2957797168")</f>
        <v>2957797168</v>
      </c>
      <c r="B232" s="53" t="str">
        <f>IFERROR(__xludf.DUMMYFUNCTION("""COMPUTED_VALUE"""),"Williams")</f>
        <v>Williams</v>
      </c>
      <c r="C232" s="53" t="str">
        <f>IFERROR(__xludf.DUMMYFUNCTION("""COMPUTED_VALUE"""),"Teagan")</f>
        <v>Teagan</v>
      </c>
      <c r="D232" s="54">
        <f>IFERROR(__xludf.DUMMYFUNCTION("""COMPUTED_VALUE"""),7.0)</f>
        <v>7</v>
      </c>
      <c r="E232" s="53" t="str">
        <f>IFERROR(__xludf.DUMMYFUNCTION("""COMPUTED_VALUE"""),"F")</f>
        <v>F</v>
      </c>
      <c r="F232" s="53" t="str">
        <f>IFERROR(__xludf.DUMMYFUNCTION("""COMPUTED_VALUE"""),"No, not Hispanic or Latino")</f>
        <v>No, not Hispanic or Latino</v>
      </c>
      <c r="G232" s="53" t="str">
        <f>IFERROR(__xludf.DUMMYFUNCTION("""COMPUTED_VALUE"""),"White")</f>
        <v>White</v>
      </c>
      <c r="H232" s="54">
        <f>IFERROR(__xludf.DUMMYFUNCTION("""COMPUTED_VALUE"""),1014.0)</f>
        <v>1014</v>
      </c>
      <c r="I232" s="53" t="str">
        <f>IFERROR(__xludf.DUMMYFUNCTION("""COMPUTED_VALUE"""),"000329")</f>
        <v>000329</v>
      </c>
      <c r="J232" s="53" t="str">
        <f>IFERROR(__xludf.DUMMYFUNCTION("""COMPUTED_VALUE"""),"25-26")</f>
        <v>25-26</v>
      </c>
    </row>
    <row r="233">
      <c r="A233" s="53" t="str">
        <f>IFERROR(__xludf.DUMMYFUNCTION("""COMPUTED_VALUE"""),"6126575872")</f>
        <v>6126575872</v>
      </c>
      <c r="B233" s="53" t="str">
        <f>IFERROR(__xludf.DUMMYFUNCTION("""COMPUTED_VALUE"""),"Zaich")</f>
        <v>Zaich</v>
      </c>
      <c r="C233" s="53" t="str">
        <f>IFERROR(__xludf.DUMMYFUNCTION("""COMPUTED_VALUE"""),"Sorrel")</f>
        <v>Sorrel</v>
      </c>
      <c r="D233" s="54">
        <f>IFERROR(__xludf.DUMMYFUNCTION("""COMPUTED_VALUE"""),7.0)</f>
        <v>7</v>
      </c>
      <c r="E233" s="53" t="str">
        <f>IFERROR(__xludf.DUMMYFUNCTION("""COMPUTED_VALUE"""),"F")</f>
        <v>F</v>
      </c>
      <c r="F233" s="53" t="str">
        <f>IFERROR(__xludf.DUMMYFUNCTION("""COMPUTED_VALUE"""),"No, not Hispanic or Latino")</f>
        <v>No, not Hispanic or Latino</v>
      </c>
      <c r="G233" s="53" t="str">
        <f>IFERROR(__xludf.DUMMYFUNCTION("""COMPUTED_VALUE"""),"White")</f>
        <v>White</v>
      </c>
      <c r="H233" s="54">
        <f>IFERROR(__xludf.DUMMYFUNCTION("""COMPUTED_VALUE"""),1226.0)</f>
        <v>1226</v>
      </c>
      <c r="I233" s="53" t="str">
        <f>IFERROR(__xludf.DUMMYFUNCTION("""COMPUTED_VALUE"""),"000325")</f>
        <v>000325</v>
      </c>
      <c r="J233" s="53" t="str">
        <f>IFERROR(__xludf.DUMMYFUNCTION("""COMPUTED_VALUE"""),"25-26")</f>
        <v>25-26</v>
      </c>
    </row>
    <row r="234">
      <c r="A234" s="53" t="str">
        <f>IFERROR(__xludf.DUMMYFUNCTION("""COMPUTED_VALUE"""),"3996642194")</f>
        <v>3996642194</v>
      </c>
      <c r="B234" s="53" t="str">
        <f>IFERROR(__xludf.DUMMYFUNCTION("""COMPUTED_VALUE"""),"Zoog")</f>
        <v>Zoog</v>
      </c>
      <c r="C234" s="53" t="str">
        <f>IFERROR(__xludf.DUMMYFUNCTION("""COMPUTED_VALUE"""),"Clara")</f>
        <v>Clara</v>
      </c>
      <c r="D234" s="54">
        <f>IFERROR(__xludf.DUMMYFUNCTION("""COMPUTED_VALUE"""),7.0)</f>
        <v>7</v>
      </c>
      <c r="E234" s="53" t="str">
        <f>IFERROR(__xludf.DUMMYFUNCTION("""COMPUTED_VALUE"""),"F")</f>
        <v>F</v>
      </c>
      <c r="F234" s="53" t="str">
        <f>IFERROR(__xludf.DUMMYFUNCTION("""COMPUTED_VALUE"""),"No, not Hispanic or Latino")</f>
        <v>No, not Hispanic or Latino</v>
      </c>
      <c r="G234" s="53" t="str">
        <f>IFERROR(__xludf.DUMMYFUNCTION("""COMPUTED_VALUE"""),"White")</f>
        <v>White</v>
      </c>
      <c r="H234" s="54">
        <f>IFERROR(__xludf.DUMMYFUNCTION("""COMPUTED_VALUE"""),1081.0)</f>
        <v>1081</v>
      </c>
      <c r="I234" s="53" t="str">
        <f>IFERROR(__xludf.DUMMYFUNCTION("""COMPUTED_VALUE"""),"000325")</f>
        <v>000325</v>
      </c>
      <c r="J234" s="53" t="str">
        <f>IFERROR(__xludf.DUMMYFUNCTION("""COMPUTED_VALUE"""),"25-26")</f>
        <v>25-26</v>
      </c>
    </row>
  </sheetData>
  <drawing r:id="rId1"/>
</worksheet>
</file>