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Data" sheetId="1" r:id="rId5"/>
    <sheet state="visible" name="21-22" sheetId="2" r:id="rId6"/>
    <sheet state="visible" name="22-23" sheetId="3" r:id="rId7"/>
    <sheet state="visible" name="23-24" sheetId="4" r:id="rId8"/>
    <sheet state="visible" name="24-25" sheetId="5" r:id="rId9"/>
    <sheet state="visible" name="25-26" sheetId="6" r:id="rId10"/>
  </sheets>
  <definedNames/>
  <calcPr/>
</workbook>
</file>

<file path=xl/sharedStrings.xml><?xml version="1.0" encoding="utf-8"?>
<sst xmlns="http://schemas.openxmlformats.org/spreadsheetml/2006/main" count="1576" uniqueCount="538">
  <si>
    <t>State Student ID</t>
  </si>
  <si>
    <t>Last Name</t>
  </si>
  <si>
    <t>First Name</t>
  </si>
  <si>
    <t>Grade</t>
  </si>
  <si>
    <t>Sex</t>
  </si>
  <si>
    <t>Description_STU_ETH</t>
  </si>
  <si>
    <t>Description_STU_RC1</t>
  </si>
  <si>
    <t>Section#</t>
  </si>
  <si>
    <t>Course ID</t>
  </si>
  <si>
    <t>Academic Year</t>
  </si>
  <si>
    <t>4683445874</t>
  </si>
  <si>
    <t>Aldrich</t>
  </si>
  <si>
    <t>Sarah</t>
  </si>
  <si>
    <t>F</t>
  </si>
  <si>
    <t>No, not Hispanic or Latino</t>
  </si>
  <si>
    <t>White</t>
  </si>
  <si>
    <t>001205</t>
  </si>
  <si>
    <t>4322545176</t>
  </si>
  <si>
    <t>Brandt</t>
  </si>
  <si>
    <t>Reid</t>
  </si>
  <si>
    <t>M</t>
  </si>
  <si>
    <t>4540169766</t>
  </si>
  <si>
    <t>Carroll</t>
  </si>
  <si>
    <t>Penelope</t>
  </si>
  <si>
    <t>2014997905</t>
  </si>
  <si>
    <t>Chew</t>
  </si>
  <si>
    <t>Samantha</t>
  </si>
  <si>
    <t>Chinese</t>
  </si>
  <si>
    <t>2328971578</t>
  </si>
  <si>
    <t>Clyne</t>
  </si>
  <si>
    <t>Michael</t>
  </si>
  <si>
    <t>3537453576</t>
  </si>
  <si>
    <t>Davis</t>
  </si>
  <si>
    <t>Dante</t>
  </si>
  <si>
    <t>5779091441</t>
  </si>
  <si>
    <t>Foley</t>
  </si>
  <si>
    <t>2013387041</t>
  </si>
  <si>
    <t>Gonzalez</t>
  </si>
  <si>
    <t>Alejandro</t>
  </si>
  <si>
    <t>Yes, Hispanic or Latino</t>
  </si>
  <si>
    <t>1313685281</t>
  </si>
  <si>
    <t>Harding</t>
  </si>
  <si>
    <t>Mila</t>
  </si>
  <si>
    <t>2310813922</t>
  </si>
  <si>
    <t>Hernandez Madrigal</t>
  </si>
  <si>
    <t>Maggie</t>
  </si>
  <si>
    <t>3451502158</t>
  </si>
  <si>
    <t>Keeling</t>
  </si>
  <si>
    <t>Nevan</t>
  </si>
  <si>
    <t>1720010518</t>
  </si>
  <si>
    <t>Lee</t>
  </si>
  <si>
    <t>Allegra</t>
  </si>
  <si>
    <t>Korean</t>
  </si>
  <si>
    <t>7752821973</t>
  </si>
  <si>
    <t>Liu</t>
  </si>
  <si>
    <t>En-Yu</t>
  </si>
  <si>
    <t>6430513623</t>
  </si>
  <si>
    <t>Lopez Morales</t>
  </si>
  <si>
    <t>Ronny</t>
  </si>
  <si>
    <t>American Indian or Alaskan Native</t>
  </si>
  <si>
    <t>1957548341</t>
  </si>
  <si>
    <t>Marsh</t>
  </si>
  <si>
    <t>Addison</t>
  </si>
  <si>
    <t>9949906945</t>
  </si>
  <si>
    <t>Mastalerz</t>
  </si>
  <si>
    <t>7439865401</t>
  </si>
  <si>
    <t>McBride</t>
  </si>
  <si>
    <t>Cillian</t>
  </si>
  <si>
    <t>4669372146</t>
  </si>
  <si>
    <t>McCoy</t>
  </si>
  <si>
    <t>Amelia</t>
  </si>
  <si>
    <t>6276515940</t>
  </si>
  <si>
    <t>McPherson</t>
  </si>
  <si>
    <t>Meadow</t>
  </si>
  <si>
    <t>3605522927</t>
  </si>
  <si>
    <t>Molloy</t>
  </si>
  <si>
    <t>Kaylyn</t>
  </si>
  <si>
    <t>Samoan</t>
  </si>
  <si>
    <t>9967232801</t>
  </si>
  <si>
    <t>Mondragon Aguerrebere</t>
  </si>
  <si>
    <t>Carmen</t>
  </si>
  <si>
    <t>4151381242</t>
  </si>
  <si>
    <t>Muguruza McDonnell</t>
  </si>
  <si>
    <t>Madan</t>
  </si>
  <si>
    <t>3026054766</t>
  </si>
  <si>
    <t>Reyes Rodriguez</t>
  </si>
  <si>
    <t>Ashley</t>
  </si>
  <si>
    <t>1266097274</t>
  </si>
  <si>
    <t>Rodriguez Mendez</t>
  </si>
  <si>
    <t>Marcela</t>
  </si>
  <si>
    <t>6712415605</t>
  </si>
  <si>
    <t>Smith</t>
  </si>
  <si>
    <t>Phenix</t>
  </si>
  <si>
    <t>Black or African American</t>
  </si>
  <si>
    <t>4089197654</t>
  </si>
  <si>
    <t>Snekkevik</t>
  </si>
  <si>
    <t>Finn</t>
  </si>
  <si>
    <t>8280776215</t>
  </si>
  <si>
    <t>Starrett</t>
  </si>
  <si>
    <t>Caroline</t>
  </si>
  <si>
    <t>6608300894</t>
  </si>
  <si>
    <t>Valentine</t>
  </si>
  <si>
    <t>Lily</t>
  </si>
  <si>
    <t>7251696268</t>
  </si>
  <si>
    <t>Vila-Garcia</t>
  </si>
  <si>
    <t>Izel</t>
  </si>
  <si>
    <t>9344877581</t>
  </si>
  <si>
    <t>Volkov</t>
  </si>
  <si>
    <t>Sofia</t>
  </si>
  <si>
    <t>9008938945</t>
  </si>
  <si>
    <t>Wadford</t>
  </si>
  <si>
    <t>Bree</t>
  </si>
  <si>
    <t>3044380140</t>
  </si>
  <si>
    <t>Winter</t>
  </si>
  <si>
    <t>Sadie</t>
  </si>
  <si>
    <t>1065943697</t>
  </si>
  <si>
    <t>Alvarado</t>
  </si>
  <si>
    <t>Bella</t>
  </si>
  <si>
    <t>Laotian</t>
  </si>
  <si>
    <t>9945837606</t>
  </si>
  <si>
    <t>Anglade</t>
  </si>
  <si>
    <t>Bertrand</t>
  </si>
  <si>
    <t>6097545808</t>
  </si>
  <si>
    <t>Baker</t>
  </si>
  <si>
    <t>Ira</t>
  </si>
  <si>
    <t>2731253005</t>
  </si>
  <si>
    <t>Francis</t>
  </si>
  <si>
    <t>7706211502</t>
  </si>
  <si>
    <t>De Frenza</t>
  </si>
  <si>
    <t>Adriano</t>
  </si>
  <si>
    <t>5330217960</t>
  </si>
  <si>
    <t>Donaldson</t>
  </si>
  <si>
    <t>Hendrix</t>
  </si>
  <si>
    <t>4601071383</t>
  </si>
  <si>
    <t>Garroway Myers</t>
  </si>
  <si>
    <t>Ella</t>
  </si>
  <si>
    <t>7604784843</t>
  </si>
  <si>
    <t>Gernhardt</t>
  </si>
  <si>
    <t>4713617485</t>
  </si>
  <si>
    <t>Harrington</t>
  </si>
  <si>
    <t>Lilah</t>
  </si>
  <si>
    <t>7010769330</t>
  </si>
  <si>
    <t>Hazelrigg</t>
  </si>
  <si>
    <t>Tess</t>
  </si>
  <si>
    <t>9560926530</t>
  </si>
  <si>
    <t>Hernandez</t>
  </si>
  <si>
    <t>Samuel</t>
  </si>
  <si>
    <t>6613422467</t>
  </si>
  <si>
    <t>Lourdu Francis Xavier</t>
  </si>
  <si>
    <t>Divya</t>
  </si>
  <si>
    <t>Asian Indian</t>
  </si>
  <si>
    <t>8946566425</t>
  </si>
  <si>
    <t>Ludin</t>
  </si>
  <si>
    <t>Charlotte</t>
  </si>
  <si>
    <t>7346873316</t>
  </si>
  <si>
    <t>McDermott</t>
  </si>
  <si>
    <t>Liam</t>
  </si>
  <si>
    <t>7292326140</t>
  </si>
  <si>
    <t>Mokelke</t>
  </si>
  <si>
    <t>Camille</t>
  </si>
  <si>
    <t>1146577836</t>
  </si>
  <si>
    <t>Ngo</t>
  </si>
  <si>
    <t>Elizabeth</t>
  </si>
  <si>
    <t>4907274085</t>
  </si>
  <si>
    <t>Noyes</t>
  </si>
  <si>
    <t>Evelyn</t>
  </si>
  <si>
    <t>6229498937</t>
  </si>
  <si>
    <t>Pastor</t>
  </si>
  <si>
    <t>6012825186</t>
  </si>
  <si>
    <t>Primer</t>
  </si>
  <si>
    <t>Talia</t>
  </si>
  <si>
    <t>8912760783</t>
  </si>
  <si>
    <t>Pringle</t>
  </si>
  <si>
    <t>George</t>
  </si>
  <si>
    <t>9342018562</t>
  </si>
  <si>
    <t>Rossetti</t>
  </si>
  <si>
    <t>Isabelle</t>
  </si>
  <si>
    <t>3203420174</t>
  </si>
  <si>
    <t>Schafer</t>
  </si>
  <si>
    <t>Ave</t>
  </si>
  <si>
    <t>1614423712</t>
  </si>
  <si>
    <t>Shoup</t>
  </si>
  <si>
    <t>Hannah</t>
  </si>
  <si>
    <t>9479649137</t>
  </si>
  <si>
    <t>Ahlemeyer</t>
  </si>
  <si>
    <t>Charles</t>
  </si>
  <si>
    <t>7546451130</t>
  </si>
  <si>
    <t>Case</t>
  </si>
  <si>
    <t>Tyler</t>
  </si>
  <si>
    <t>2016291082</t>
  </si>
  <si>
    <t>Zoey</t>
  </si>
  <si>
    <t>1845899627</t>
  </si>
  <si>
    <t>Cruzat</t>
  </si>
  <si>
    <t>Kimberly Mae</t>
  </si>
  <si>
    <t>Filipino</t>
  </si>
  <si>
    <t>3768808983</t>
  </si>
  <si>
    <t>Ekstrand</t>
  </si>
  <si>
    <t>Emmett</t>
  </si>
  <si>
    <t>8354191645</t>
  </si>
  <si>
    <t>Garcia</t>
  </si>
  <si>
    <t>Alexis</t>
  </si>
  <si>
    <t>4677096374</t>
  </si>
  <si>
    <t>Garza</t>
  </si>
  <si>
    <t>Itzel</t>
  </si>
  <si>
    <t>8622758744</t>
  </si>
  <si>
    <t>Henry</t>
  </si>
  <si>
    <t>Ayla</t>
  </si>
  <si>
    <t>5268038850</t>
  </si>
  <si>
    <t>7187902255</t>
  </si>
  <si>
    <t>Kemp</t>
  </si>
  <si>
    <t>Midori</t>
  </si>
  <si>
    <t>Japanese</t>
  </si>
  <si>
    <t>4592007854</t>
  </si>
  <si>
    <t>Kurlan</t>
  </si>
  <si>
    <t>Sophie</t>
  </si>
  <si>
    <t>2290010310</t>
  </si>
  <si>
    <t>Levijarvi</t>
  </si>
  <si>
    <t>Shota</t>
  </si>
  <si>
    <t>5924738867</t>
  </si>
  <si>
    <t>Lewis</t>
  </si>
  <si>
    <t>Nathaniel</t>
  </si>
  <si>
    <t>7068776286</t>
  </si>
  <si>
    <t>Matthies</t>
  </si>
  <si>
    <t>Lilian</t>
  </si>
  <si>
    <t>5625842433</t>
  </si>
  <si>
    <t>McKay</t>
  </si>
  <si>
    <t>5276457235</t>
  </si>
  <si>
    <t>Milener</t>
  </si>
  <si>
    <t>Kennedy</t>
  </si>
  <si>
    <t>9296848967</t>
  </si>
  <si>
    <t>Minor</t>
  </si>
  <si>
    <t>Noah</t>
  </si>
  <si>
    <t>2956524748</t>
  </si>
  <si>
    <t>Daniel</t>
  </si>
  <si>
    <t>9226785464</t>
  </si>
  <si>
    <t>Munson</t>
  </si>
  <si>
    <t>Tilda</t>
  </si>
  <si>
    <t>8003964780</t>
  </si>
  <si>
    <t>Previtali</t>
  </si>
  <si>
    <t>Oona</t>
  </si>
  <si>
    <t>4395079315</t>
  </si>
  <si>
    <t>Ralls</t>
  </si>
  <si>
    <t>Sasha</t>
  </si>
  <si>
    <t>7377862803</t>
  </si>
  <si>
    <t>Singh</t>
  </si>
  <si>
    <t>Aryaveer</t>
  </si>
  <si>
    <t>6118429083</t>
  </si>
  <si>
    <t>Delaney</t>
  </si>
  <si>
    <t>2272691597</t>
  </si>
  <si>
    <t>Eric</t>
  </si>
  <si>
    <t>6965508161</t>
  </si>
  <si>
    <t>Jakob</t>
  </si>
  <si>
    <t>3925237195</t>
  </si>
  <si>
    <t>Troy</t>
  </si>
  <si>
    <t>Madison</t>
  </si>
  <si>
    <t>1150682455</t>
  </si>
  <si>
    <t>Metzi</t>
  </si>
  <si>
    <t>7056851646</t>
  </si>
  <si>
    <t>Vilar</t>
  </si>
  <si>
    <t>Paula</t>
  </si>
  <si>
    <t>8995124237</t>
  </si>
  <si>
    <t>Vree</t>
  </si>
  <si>
    <t>William</t>
  </si>
  <si>
    <t>3159271271</t>
  </si>
  <si>
    <t>Albrecht</t>
  </si>
  <si>
    <t>Thomas</t>
  </si>
  <si>
    <t>1601597327</t>
  </si>
  <si>
    <t>Atnip</t>
  </si>
  <si>
    <t>Brooke</t>
  </si>
  <si>
    <t>9689604491</t>
  </si>
  <si>
    <t>Brill</t>
  </si>
  <si>
    <t>Harper</t>
  </si>
  <si>
    <t>2100259675</t>
  </si>
  <si>
    <t>Burgon</t>
  </si>
  <si>
    <t>Cate</t>
  </si>
  <si>
    <t>5036876695</t>
  </si>
  <si>
    <t>Callahan</t>
  </si>
  <si>
    <t>8015110233</t>
  </si>
  <si>
    <t>Chavez</t>
  </si>
  <si>
    <t>Emily</t>
  </si>
  <si>
    <t>7684378323</t>
  </si>
  <si>
    <t>Crowe-Carsola</t>
  </si>
  <si>
    <t>Kai</t>
  </si>
  <si>
    <t>4627387113</t>
  </si>
  <si>
    <t>Cullen</t>
  </si>
  <si>
    <t>4070947937</t>
  </si>
  <si>
    <t>Daabul</t>
  </si>
  <si>
    <t>Shira</t>
  </si>
  <si>
    <t>Other Asian</t>
  </si>
  <si>
    <t>3549169574</t>
  </si>
  <si>
    <t>Demartini</t>
  </si>
  <si>
    <t>Mark</t>
  </si>
  <si>
    <t>6958389284</t>
  </si>
  <si>
    <t>Dempsey</t>
  </si>
  <si>
    <t>Layla</t>
  </si>
  <si>
    <t>2470549375</t>
  </si>
  <si>
    <t>Disharoon</t>
  </si>
  <si>
    <t>Phoebe</t>
  </si>
  <si>
    <t>7073499486</t>
  </si>
  <si>
    <t>Flores</t>
  </si>
  <si>
    <t>Giselle</t>
  </si>
  <si>
    <t>No Answer Provided</t>
  </si>
  <si>
    <t>7029084655</t>
  </si>
  <si>
    <t>Freslon Sayer</t>
  </si>
  <si>
    <t>Jules</t>
  </si>
  <si>
    <t>1130738681</t>
  </si>
  <si>
    <t>Gaspari III</t>
  </si>
  <si>
    <t>Alfred</t>
  </si>
  <si>
    <t>2537539288</t>
  </si>
  <si>
    <t>Gillespie</t>
  </si>
  <si>
    <t>Ilaria</t>
  </si>
  <si>
    <t>2427512130</t>
  </si>
  <si>
    <t>Gilligan</t>
  </si>
  <si>
    <t>Skylar</t>
  </si>
  <si>
    <t>6721984844</t>
  </si>
  <si>
    <t>Glover</t>
  </si>
  <si>
    <t>5475493708</t>
  </si>
  <si>
    <t>Gutierrez</t>
  </si>
  <si>
    <t>Allison</t>
  </si>
  <si>
    <t>8098801727</t>
  </si>
  <si>
    <t>Heckler</t>
  </si>
  <si>
    <t>Cameron</t>
  </si>
  <si>
    <t>4125928645</t>
  </si>
  <si>
    <t>Holden-Holley</t>
  </si>
  <si>
    <t>9743476217</t>
  </si>
  <si>
    <t>Ixchop Calderon</t>
  </si>
  <si>
    <t>Jackeline</t>
  </si>
  <si>
    <t>1310627395</t>
  </si>
  <si>
    <t>Kelsey</t>
  </si>
  <si>
    <t>9716865794</t>
  </si>
  <si>
    <t>Laffer</t>
  </si>
  <si>
    <t>Fern</t>
  </si>
  <si>
    <t>5503158551</t>
  </si>
  <si>
    <t>Lauster</t>
  </si>
  <si>
    <t>Hailey</t>
  </si>
  <si>
    <t>9536090218</t>
  </si>
  <si>
    <t>Lea</t>
  </si>
  <si>
    <t>2489891670</t>
  </si>
  <si>
    <t>Lindenmuth</t>
  </si>
  <si>
    <t>Natalie</t>
  </si>
  <si>
    <t>7629221665</t>
  </si>
  <si>
    <t>Luna</t>
  </si>
  <si>
    <t>Genesis</t>
  </si>
  <si>
    <t>6739675806</t>
  </si>
  <si>
    <t>Maibaum</t>
  </si>
  <si>
    <t>Lilly</t>
  </si>
  <si>
    <t>4173926218</t>
  </si>
  <si>
    <t>Marroquin</t>
  </si>
  <si>
    <t>6168828576</t>
  </si>
  <si>
    <t>Riordan</t>
  </si>
  <si>
    <t>3609929632</t>
  </si>
  <si>
    <t>3551865930</t>
  </si>
  <si>
    <t>Melenkivitz</t>
  </si>
  <si>
    <t>Avery</t>
  </si>
  <si>
    <t>8151561494</t>
  </si>
  <si>
    <t>Mendez</t>
  </si>
  <si>
    <t>Edilser</t>
  </si>
  <si>
    <t>6191168218</t>
  </si>
  <si>
    <t>Michael Hegwer</t>
  </si>
  <si>
    <t>4644648347</t>
  </si>
  <si>
    <t>Moore</t>
  </si>
  <si>
    <t>9544940954</t>
  </si>
  <si>
    <t>Nadelberg</t>
  </si>
  <si>
    <t>4747144724</t>
  </si>
  <si>
    <t>O'Brien</t>
  </si>
  <si>
    <t>Josephine</t>
  </si>
  <si>
    <t>2241936281</t>
  </si>
  <si>
    <t>O'Bryan</t>
  </si>
  <si>
    <t>Bianca</t>
  </si>
  <si>
    <t>5686477402</t>
  </si>
  <si>
    <t>Purvis</t>
  </si>
  <si>
    <t>Charlie</t>
  </si>
  <si>
    <t>5461090378</t>
  </si>
  <si>
    <t>Rajagopal</t>
  </si>
  <si>
    <t>Asha</t>
  </si>
  <si>
    <t>6362028213</t>
  </si>
  <si>
    <t>Rhodes</t>
  </si>
  <si>
    <t>McKenzie</t>
  </si>
  <si>
    <t>1391410080</t>
  </si>
  <si>
    <t>Rogers</t>
  </si>
  <si>
    <t>Kal</t>
  </si>
  <si>
    <t>7743121356</t>
  </si>
  <si>
    <t>Sajche</t>
  </si>
  <si>
    <t>Astrid</t>
  </si>
  <si>
    <t>6903093778</t>
  </si>
  <si>
    <t>Sankey</t>
  </si>
  <si>
    <t>Seda</t>
  </si>
  <si>
    <t>6956473559</t>
  </si>
  <si>
    <t>Shumaker</t>
  </si>
  <si>
    <t>Andrew</t>
  </si>
  <si>
    <t>9147086166</t>
  </si>
  <si>
    <t>Shuman</t>
  </si>
  <si>
    <t>Eli</t>
  </si>
  <si>
    <t>8184328277</t>
  </si>
  <si>
    <t>Sordoillet</t>
  </si>
  <si>
    <t>Lili</t>
  </si>
  <si>
    <t>7367834845</t>
  </si>
  <si>
    <t>Stewart</t>
  </si>
  <si>
    <t>Piper</t>
  </si>
  <si>
    <t>7192429953</t>
  </si>
  <si>
    <t>Vail</t>
  </si>
  <si>
    <t>Adelaide</t>
  </si>
  <si>
    <t>7571139412</t>
  </si>
  <si>
    <t>Wallen</t>
  </si>
  <si>
    <t>4029694582</t>
  </si>
  <si>
    <t>Williams</t>
  </si>
  <si>
    <t>Taylor</t>
  </si>
  <si>
    <t>9051069126</t>
  </si>
  <si>
    <t>Yu</t>
  </si>
  <si>
    <t>Nicholas</t>
  </si>
  <si>
    <t>3982714558</t>
  </si>
  <si>
    <t>Abplanalp-Cowan</t>
  </si>
  <si>
    <t>Rion</t>
  </si>
  <si>
    <t>7270755478</t>
  </si>
  <si>
    <t>Joseph</t>
  </si>
  <si>
    <t>5463992417</t>
  </si>
  <si>
    <t>Benin</t>
  </si>
  <si>
    <t>Sidney</t>
  </si>
  <si>
    <t>3682194838</t>
  </si>
  <si>
    <t>Buell</t>
  </si>
  <si>
    <t>7634167402</t>
  </si>
  <si>
    <t>Burke</t>
  </si>
  <si>
    <t>6131701078</t>
  </si>
  <si>
    <t>Butler</t>
  </si>
  <si>
    <t>Lyla</t>
  </si>
  <si>
    <t>9326242585</t>
  </si>
  <si>
    <t>Cadena Sanchez</t>
  </si>
  <si>
    <t>Emma</t>
  </si>
  <si>
    <t>7762045803</t>
  </si>
  <si>
    <t>Chavez Fuentes</t>
  </si>
  <si>
    <t>Kiara</t>
  </si>
  <si>
    <t>3585062193</t>
  </si>
  <si>
    <t>Chinchilla Contreras</t>
  </si>
  <si>
    <t>Danella</t>
  </si>
  <si>
    <t>3865651468</t>
  </si>
  <si>
    <t>Chipel Pu</t>
  </si>
  <si>
    <t>Katerin</t>
  </si>
  <si>
    <t>9081513775</t>
  </si>
  <si>
    <t>Cortes</t>
  </si>
  <si>
    <t>7381006626</t>
  </si>
  <si>
    <t>Cunha</t>
  </si>
  <si>
    <t>Madyson</t>
  </si>
  <si>
    <t>9330494758</t>
  </si>
  <si>
    <t>Daglow</t>
  </si>
  <si>
    <t>Jackson</t>
  </si>
  <si>
    <t>4053487263</t>
  </si>
  <si>
    <t>Das</t>
  </si>
  <si>
    <t>Saadhvi</t>
  </si>
  <si>
    <t>3124918045</t>
  </si>
  <si>
    <t>DeVost</t>
  </si>
  <si>
    <t>Mary</t>
  </si>
  <si>
    <t>6748364351</t>
  </si>
  <si>
    <t>Dizon</t>
  </si>
  <si>
    <t>Jayden</t>
  </si>
  <si>
    <t>1521655290</t>
  </si>
  <si>
    <t>Giavina</t>
  </si>
  <si>
    <t>Jasmine</t>
  </si>
  <si>
    <t>9151026750</t>
  </si>
  <si>
    <t>Gooch</t>
  </si>
  <si>
    <t>Hazel</t>
  </si>
  <si>
    <t>9786385056</t>
  </si>
  <si>
    <t>Graham</t>
  </si>
  <si>
    <t>Gemma</t>
  </si>
  <si>
    <t>6521076786</t>
  </si>
  <si>
    <t>Guttilla</t>
  </si>
  <si>
    <t>Giovanni</t>
  </si>
  <si>
    <t>Unknown/Declined to State</t>
  </si>
  <si>
    <t>2944171991</t>
  </si>
  <si>
    <t>Hawkins</t>
  </si>
  <si>
    <t>James</t>
  </si>
  <si>
    <t>9512396910</t>
  </si>
  <si>
    <t>Hutchinson</t>
  </si>
  <si>
    <t>Meryl</t>
  </si>
  <si>
    <t>1387656167</t>
  </si>
  <si>
    <t>John</t>
  </si>
  <si>
    <t>8101391995</t>
  </si>
  <si>
    <t>Madden</t>
  </si>
  <si>
    <t>8109392264</t>
  </si>
  <si>
    <t>Martinez De Leon</t>
  </si>
  <si>
    <t>Damaris</t>
  </si>
  <si>
    <t>8935873604</t>
  </si>
  <si>
    <t>Melluso</t>
  </si>
  <si>
    <t>Macin</t>
  </si>
  <si>
    <t>5826237322</t>
  </si>
  <si>
    <t>Moaveni</t>
  </si>
  <si>
    <t>Yasaman</t>
  </si>
  <si>
    <t>4233857848</t>
  </si>
  <si>
    <t>Ava</t>
  </si>
  <si>
    <t>9935872288</t>
  </si>
  <si>
    <t>Newhoff</t>
  </si>
  <si>
    <t>Coco</t>
  </si>
  <si>
    <t>5033120793</t>
  </si>
  <si>
    <t>Nixon</t>
  </si>
  <si>
    <t>Connor</t>
  </si>
  <si>
    <t>5797744604</t>
  </si>
  <si>
    <t>8479464928</t>
  </si>
  <si>
    <t>O'Connor</t>
  </si>
  <si>
    <t>5097068853</t>
  </si>
  <si>
    <t>Palomino</t>
  </si>
  <si>
    <t>5905726852</t>
  </si>
  <si>
    <t>Rivas</t>
  </si>
  <si>
    <t>Sebastian</t>
  </si>
  <si>
    <t>2730077965</t>
  </si>
  <si>
    <t>Margot</t>
  </si>
  <si>
    <t>8503130924</t>
  </si>
  <si>
    <t>Ethan</t>
  </si>
  <si>
    <t>8042314678</t>
  </si>
  <si>
    <t>Schneider</t>
  </si>
  <si>
    <t>Hadley</t>
  </si>
  <si>
    <t>6774093887</t>
  </si>
  <si>
    <t>Sims</t>
  </si>
  <si>
    <t>Cole</t>
  </si>
  <si>
    <t>3675348303</t>
  </si>
  <si>
    <t>Spratt</t>
  </si>
  <si>
    <t>Amelie</t>
  </si>
  <si>
    <t>5078854585</t>
  </si>
  <si>
    <t>Steiner</t>
  </si>
  <si>
    <t>Mason</t>
  </si>
  <si>
    <t>5717026596</t>
  </si>
  <si>
    <t>Reed</t>
  </si>
  <si>
    <t>5931543947</t>
  </si>
  <si>
    <t>Thai</t>
  </si>
  <si>
    <t>Inara</t>
  </si>
  <si>
    <t>1278863098</t>
  </si>
  <si>
    <t>Rya</t>
  </si>
  <si>
    <t>3110316963</t>
  </si>
  <si>
    <t>7136618951</t>
  </si>
  <si>
    <t>Wallace</t>
  </si>
  <si>
    <t>Johannah</t>
  </si>
  <si>
    <t>9727209753</t>
  </si>
  <si>
    <t>Wells</t>
  </si>
  <si>
    <t>Roland</t>
  </si>
  <si>
    <t>6755663698</t>
  </si>
  <si>
    <t>Whitney</t>
  </si>
  <si>
    <t>Patrick</t>
  </si>
  <si>
    <t>2199468543</t>
  </si>
  <si>
    <t>Zacarias Cifuentes</t>
  </si>
  <si>
    <t>Emanuel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</si>
</sst>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Calibri"/>
    </font>
    <font>
      <sz val="9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1" numFmtId="164" xfId="0" applyFont="1" applyNumberFormat="1"/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horizontal="right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vertical="bottom"/>
    </xf>
    <xf borderId="0" fillId="0" fontId="4" numFmtId="49" xfId="0" applyAlignment="1" applyFont="1" applyNumberFormat="1">
      <alignment shrinkToFit="0" vertical="center" wrapText="0"/>
    </xf>
    <xf borderId="0" fillId="0" fontId="4" numFmtId="1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4" numFmtId="49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21-2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2-2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3-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4-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-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3" displayName="Lead_21_22" name="Lead_21_22" id="1">
  <tableColumns count="10">
    <tableColumn name="State Student ID" id="1"/>
    <tableColumn name="Last Name" id="2"/>
    <tableColumn name="First Name" id="3"/>
    <tableColumn name="Grade" id="4"/>
    <tableColumn name="Sex" id="5"/>
    <tableColumn name="Description_STU_ETH" id="6"/>
    <tableColumn name="Description_STU_RC1" id="7"/>
    <tableColumn name="Section#" id="8"/>
    <tableColumn name="Course ID" id="9"/>
    <tableColumn name="Academic Year" id="10"/>
  </tableColumns>
  <tableStyleInfo name="21-22-style" showColumnStripes="0" showFirstColumn="1" showLastColumn="1" showRowStripes="1"/>
</table>
</file>

<file path=xl/tables/table2.xml><?xml version="1.0" encoding="utf-8"?>
<table xmlns="http://schemas.openxmlformats.org/spreadsheetml/2006/main" ref="A1:J29" displayName="Student_Roster_Detail" name="Student_Roster_Detail" id="2">
  <tableColumns count="10">
    <tableColumn name="State Student ID" id="1"/>
    <tableColumn name="Last Name" id="2"/>
    <tableColumn name="First Name" id="3"/>
    <tableColumn name="Grade" id="4"/>
    <tableColumn name="Sex" id="5"/>
    <tableColumn name="Description_STU_ETH" id="6"/>
    <tableColumn name="Description_STU_RC1" id="7"/>
    <tableColumn name="Section#" id="8"/>
    <tableColumn name="Course ID" id="9"/>
    <tableColumn name="Academic Year" id="10"/>
  </tableColumns>
  <tableStyleInfo name="22-23-style" showColumnStripes="0" showFirstColumn="1" showLastColumn="1" showRowStripes="1"/>
</table>
</file>

<file path=xl/tables/table3.xml><?xml version="1.0" encoding="utf-8"?>
<table xmlns="http://schemas.openxmlformats.org/spreadsheetml/2006/main" ref="A1:J34" displayName="Student_Demographics_Enrollment" name="Student_Demographics_Enrollment" id="3">
  <tableColumns count="10">
    <tableColumn name="State Student ID" id="1"/>
    <tableColumn name="Last Name" id="2"/>
    <tableColumn name="First Name" id="3"/>
    <tableColumn name="Grade" id="4"/>
    <tableColumn name="Sex" id="5"/>
    <tableColumn name="Description_STU_ETH" id="6"/>
    <tableColumn name="Description_STU_RC1" id="7"/>
    <tableColumn name="Section#" id="8"/>
    <tableColumn name="Course ID" id="9"/>
    <tableColumn name="Academic Year" id="10"/>
  </tableColumns>
  <tableStyleInfo name="23-24-style" showColumnStripes="0" showFirstColumn="1" showLastColumn="1" showRowStripes="1"/>
</table>
</file>

<file path=xl/tables/table4.xml><?xml version="1.0" encoding="utf-8"?>
<table xmlns="http://schemas.openxmlformats.org/spreadsheetml/2006/main" ref="A1:J60" displayName="Student_Enrollment_Details" name="Student_Enrollment_Details" id="4">
  <tableColumns count="10">
    <tableColumn name="State Student ID" id="1"/>
    <tableColumn name="Last Name" id="2"/>
    <tableColumn name="First Name" id="3"/>
    <tableColumn name="Grade" id="4"/>
    <tableColumn name="Sex" id="5"/>
    <tableColumn name="Description_STU_ETH" id="6"/>
    <tableColumn name="Description_STU_RC1" id="7"/>
    <tableColumn name="Section#" id="8"/>
    <tableColumn name="Course ID" id="9"/>
    <tableColumn name="Academic Year" id="10"/>
  </tableColumns>
  <tableStyleInfo name="24-25-style" showColumnStripes="0" showFirstColumn="1" showLastColumn="1" showRowStripes="1"/>
</table>
</file>

<file path=xl/tables/table5.xml><?xml version="1.0" encoding="utf-8"?>
<table xmlns="http://schemas.openxmlformats.org/spreadsheetml/2006/main" ref="A1:J67" displayName="Student_Course_Enrollment" name="Student_Course_Enrollment" id="5">
  <tableColumns count="10">
    <tableColumn name="State Student ID" id="1"/>
    <tableColumn name="Last Name" id="2"/>
    <tableColumn name="First Name" id="3"/>
    <tableColumn name="Grade" id="4"/>
    <tableColumn name="Sex" id="5"/>
    <tableColumn name="Description_STU_ETH" id="6"/>
    <tableColumn name="Description_STU_RC1" id="7"/>
    <tableColumn name="Section#" id="8"/>
    <tableColumn name="Course ID" id="9"/>
    <tableColumn name="Academic Year" id="10"/>
  </tableColumns>
  <tableStyleInfo name="25-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IFERROR(__xludf.DUMMYFUNCTION("QUERY({'21-22'!A1:J4563; '22-23'!A2:J4563; '23-24'!A2:J4563; '24-25'!A2:J4563; '25-26'!A2:J4563}, ""select * where Col1 is not null"")"),"State Student ID")</f>
        <v>State Student ID</v>
      </c>
      <c r="B1" s="1" t="str">
        <f>IFERROR(__xludf.DUMMYFUNCTION("""COMPUTED_VALUE"""),"Last Name")</f>
        <v>Last Name</v>
      </c>
      <c r="C1" s="1" t="str">
        <f>IFERROR(__xludf.DUMMYFUNCTION("""COMPUTED_VALUE"""),"First Name")</f>
        <v>First Name</v>
      </c>
      <c r="D1" s="1" t="str">
        <f>IFERROR(__xludf.DUMMYFUNCTION("""COMPUTED_VALUE"""),"Grade")</f>
        <v>Grade</v>
      </c>
      <c r="E1" s="1" t="str">
        <f>IFERROR(__xludf.DUMMYFUNCTION("""COMPUTED_VALUE"""),"Sex")</f>
        <v>Sex</v>
      </c>
      <c r="F1" s="1" t="str">
        <f>IFERROR(__xludf.DUMMYFUNCTION("""COMPUTED_VALUE"""),"Description_STU_ETH")</f>
        <v>Description_STU_ETH</v>
      </c>
      <c r="G1" s="1" t="str">
        <f>IFERROR(__xludf.DUMMYFUNCTION("""COMPUTED_VALUE"""),"Description_STU_RC1")</f>
        <v>Description_STU_RC1</v>
      </c>
      <c r="H1" s="1" t="str">
        <f>IFERROR(__xludf.DUMMYFUNCTION("""COMPUTED_VALUE"""),"Section#")</f>
        <v>Section#</v>
      </c>
      <c r="I1" s="1" t="str">
        <f>IFERROR(__xludf.DUMMYFUNCTION("""COMPUTED_VALUE"""),"Course ID")</f>
        <v>Course ID</v>
      </c>
      <c r="J1" s="1" t="str">
        <f>IFERROR(__xludf.DUMMYFUNCTION("""COMPUTED_VALUE"""),"Academic Year")</f>
        <v>Academic Year</v>
      </c>
    </row>
    <row r="2">
      <c r="A2" s="1" t="str">
        <f>IFERROR(__xludf.DUMMYFUNCTION("""COMPUTED_VALUE"""),"4683445874")</f>
        <v>4683445874</v>
      </c>
      <c r="B2" s="1" t="str">
        <f>IFERROR(__xludf.DUMMYFUNCTION("""COMPUTED_VALUE"""),"Aldrich")</f>
        <v>Aldrich</v>
      </c>
      <c r="C2" s="1" t="str">
        <f>IFERROR(__xludf.DUMMYFUNCTION("""COMPUTED_VALUE"""),"Sarah")</f>
        <v>Sarah</v>
      </c>
      <c r="D2" s="2">
        <f>IFERROR(__xludf.DUMMYFUNCTION("""COMPUTED_VALUE"""),8.0)</f>
        <v>8</v>
      </c>
      <c r="E2" s="1" t="str">
        <f>IFERROR(__xludf.DUMMYFUNCTION("""COMPUTED_VALUE"""),"F")</f>
        <v>F</v>
      </c>
      <c r="F2" s="1" t="str">
        <f>IFERROR(__xludf.DUMMYFUNCTION("""COMPUTED_VALUE"""),"No, not Hispanic or Latino")</f>
        <v>No, not Hispanic or Latino</v>
      </c>
      <c r="G2" s="1" t="str">
        <f>IFERROR(__xludf.DUMMYFUNCTION("""COMPUTED_VALUE"""),"White")</f>
        <v>White</v>
      </c>
      <c r="H2" s="2">
        <f>IFERROR(__xludf.DUMMYFUNCTION("""COMPUTED_VALUE"""),1056.0)</f>
        <v>1056</v>
      </c>
      <c r="I2" s="1" t="str">
        <f>IFERROR(__xludf.DUMMYFUNCTION("""COMPUTED_VALUE"""),"001205")</f>
        <v>001205</v>
      </c>
      <c r="J2" s="3">
        <f>IFERROR(__xludf.DUMMYFUNCTION("""COMPUTED_VALUE"""),44428.0)</f>
        <v>44428</v>
      </c>
    </row>
    <row r="3">
      <c r="A3" s="1" t="str">
        <f>IFERROR(__xludf.DUMMYFUNCTION("""COMPUTED_VALUE"""),"4322545176")</f>
        <v>4322545176</v>
      </c>
      <c r="B3" s="1" t="str">
        <f>IFERROR(__xludf.DUMMYFUNCTION("""COMPUTED_VALUE"""),"Brandt")</f>
        <v>Brandt</v>
      </c>
      <c r="C3" s="1" t="str">
        <f>IFERROR(__xludf.DUMMYFUNCTION("""COMPUTED_VALUE"""),"Reid")</f>
        <v>Reid</v>
      </c>
      <c r="D3" s="2">
        <f>IFERROR(__xludf.DUMMYFUNCTION("""COMPUTED_VALUE"""),8.0)</f>
        <v>8</v>
      </c>
      <c r="E3" s="1" t="str">
        <f>IFERROR(__xludf.DUMMYFUNCTION("""COMPUTED_VALUE"""),"M")</f>
        <v>M</v>
      </c>
      <c r="F3" s="1" t="str">
        <f>IFERROR(__xludf.DUMMYFUNCTION("""COMPUTED_VALUE"""),"No, not Hispanic or Latino")</f>
        <v>No, not Hispanic or Latino</v>
      </c>
      <c r="G3" s="1" t="str">
        <f>IFERROR(__xludf.DUMMYFUNCTION("""COMPUTED_VALUE"""),"White")</f>
        <v>White</v>
      </c>
      <c r="H3" s="2">
        <f>IFERROR(__xludf.DUMMYFUNCTION("""COMPUTED_VALUE"""),1056.0)</f>
        <v>1056</v>
      </c>
      <c r="I3" s="1" t="str">
        <f>IFERROR(__xludf.DUMMYFUNCTION("""COMPUTED_VALUE"""),"001205")</f>
        <v>001205</v>
      </c>
      <c r="J3" s="3">
        <f>IFERROR(__xludf.DUMMYFUNCTION("""COMPUTED_VALUE"""),44428.0)</f>
        <v>44428</v>
      </c>
    </row>
    <row r="4">
      <c r="A4" s="1" t="str">
        <f>IFERROR(__xludf.DUMMYFUNCTION("""COMPUTED_VALUE"""),"4540169766")</f>
        <v>4540169766</v>
      </c>
      <c r="B4" s="1" t="str">
        <f>IFERROR(__xludf.DUMMYFUNCTION("""COMPUTED_VALUE"""),"Carroll")</f>
        <v>Carroll</v>
      </c>
      <c r="C4" s="1" t="str">
        <f>IFERROR(__xludf.DUMMYFUNCTION("""COMPUTED_VALUE"""),"Penelope")</f>
        <v>Penelope</v>
      </c>
      <c r="D4" s="2">
        <f>IFERROR(__xludf.DUMMYFUNCTION("""COMPUTED_VALUE"""),8.0)</f>
        <v>8</v>
      </c>
      <c r="E4" s="1" t="str">
        <f>IFERROR(__xludf.DUMMYFUNCTION("""COMPUTED_VALUE"""),"F")</f>
        <v>F</v>
      </c>
      <c r="F4" s="1" t="str">
        <f>IFERROR(__xludf.DUMMYFUNCTION("""COMPUTED_VALUE"""),"No, not Hispanic or Latino")</f>
        <v>No, not Hispanic or Latino</v>
      </c>
      <c r="G4" s="1" t="str">
        <f>IFERROR(__xludf.DUMMYFUNCTION("""COMPUTED_VALUE"""),"White")</f>
        <v>White</v>
      </c>
      <c r="H4" s="2">
        <f>IFERROR(__xludf.DUMMYFUNCTION("""COMPUTED_VALUE"""),1056.0)</f>
        <v>1056</v>
      </c>
      <c r="I4" s="1" t="str">
        <f>IFERROR(__xludf.DUMMYFUNCTION("""COMPUTED_VALUE"""),"001205")</f>
        <v>001205</v>
      </c>
      <c r="J4" s="3">
        <f>IFERROR(__xludf.DUMMYFUNCTION("""COMPUTED_VALUE"""),44428.0)</f>
        <v>44428</v>
      </c>
    </row>
    <row r="5">
      <c r="A5" s="1" t="str">
        <f>IFERROR(__xludf.DUMMYFUNCTION("""COMPUTED_VALUE"""),"2014997905")</f>
        <v>2014997905</v>
      </c>
      <c r="B5" s="1" t="str">
        <f>IFERROR(__xludf.DUMMYFUNCTION("""COMPUTED_VALUE"""),"Chew")</f>
        <v>Chew</v>
      </c>
      <c r="C5" s="1" t="str">
        <f>IFERROR(__xludf.DUMMYFUNCTION("""COMPUTED_VALUE"""),"Samantha")</f>
        <v>Samantha</v>
      </c>
      <c r="D5" s="2">
        <f>IFERROR(__xludf.DUMMYFUNCTION("""COMPUTED_VALUE"""),7.0)</f>
        <v>7</v>
      </c>
      <c r="E5" s="1" t="str">
        <f>IFERROR(__xludf.DUMMYFUNCTION("""COMPUTED_VALUE"""),"F")</f>
        <v>F</v>
      </c>
      <c r="F5" s="1" t="str">
        <f>IFERROR(__xludf.DUMMYFUNCTION("""COMPUTED_VALUE"""),"No, not Hispanic or Latino")</f>
        <v>No, not Hispanic or Latino</v>
      </c>
      <c r="G5" s="1" t="str">
        <f>IFERROR(__xludf.DUMMYFUNCTION("""COMPUTED_VALUE"""),"Chinese")</f>
        <v>Chinese</v>
      </c>
      <c r="H5" s="2">
        <f>IFERROR(__xludf.DUMMYFUNCTION("""COMPUTED_VALUE"""),1056.0)</f>
        <v>1056</v>
      </c>
      <c r="I5" s="1" t="str">
        <f>IFERROR(__xludf.DUMMYFUNCTION("""COMPUTED_VALUE"""),"001205")</f>
        <v>001205</v>
      </c>
      <c r="J5" s="3">
        <f>IFERROR(__xludf.DUMMYFUNCTION("""COMPUTED_VALUE"""),44428.0)</f>
        <v>44428</v>
      </c>
    </row>
    <row r="6">
      <c r="A6" s="1" t="str">
        <f>IFERROR(__xludf.DUMMYFUNCTION("""COMPUTED_VALUE"""),"2328971578")</f>
        <v>2328971578</v>
      </c>
      <c r="B6" s="1" t="str">
        <f>IFERROR(__xludf.DUMMYFUNCTION("""COMPUTED_VALUE"""),"Clyne")</f>
        <v>Clyne</v>
      </c>
      <c r="C6" s="1" t="str">
        <f>IFERROR(__xludf.DUMMYFUNCTION("""COMPUTED_VALUE"""),"Michael")</f>
        <v>Michael</v>
      </c>
      <c r="D6" s="2">
        <f>IFERROR(__xludf.DUMMYFUNCTION("""COMPUTED_VALUE"""),8.0)</f>
        <v>8</v>
      </c>
      <c r="E6" s="1" t="str">
        <f>IFERROR(__xludf.DUMMYFUNCTION("""COMPUTED_VALUE"""),"M")</f>
        <v>M</v>
      </c>
      <c r="F6" s="1" t="str">
        <f>IFERROR(__xludf.DUMMYFUNCTION("""COMPUTED_VALUE"""),"No, not Hispanic or Latino")</f>
        <v>No, not Hispanic or Latino</v>
      </c>
      <c r="G6" s="1" t="str">
        <f>IFERROR(__xludf.DUMMYFUNCTION("""COMPUTED_VALUE"""),"White")</f>
        <v>White</v>
      </c>
      <c r="H6" s="2">
        <f>IFERROR(__xludf.DUMMYFUNCTION("""COMPUTED_VALUE"""),1056.0)</f>
        <v>1056</v>
      </c>
      <c r="I6" s="1" t="str">
        <f>IFERROR(__xludf.DUMMYFUNCTION("""COMPUTED_VALUE"""),"001205")</f>
        <v>001205</v>
      </c>
      <c r="J6" s="3">
        <f>IFERROR(__xludf.DUMMYFUNCTION("""COMPUTED_VALUE"""),44428.0)</f>
        <v>44428</v>
      </c>
    </row>
    <row r="7">
      <c r="A7" s="1" t="str">
        <f>IFERROR(__xludf.DUMMYFUNCTION("""COMPUTED_VALUE"""),"3537453576")</f>
        <v>3537453576</v>
      </c>
      <c r="B7" s="1" t="str">
        <f>IFERROR(__xludf.DUMMYFUNCTION("""COMPUTED_VALUE"""),"Davis")</f>
        <v>Davis</v>
      </c>
      <c r="C7" s="1" t="str">
        <f>IFERROR(__xludf.DUMMYFUNCTION("""COMPUTED_VALUE"""),"Dante")</f>
        <v>Dante</v>
      </c>
      <c r="D7" s="2">
        <f>IFERROR(__xludf.DUMMYFUNCTION("""COMPUTED_VALUE"""),8.0)</f>
        <v>8</v>
      </c>
      <c r="E7" s="1" t="str">
        <f>IFERROR(__xludf.DUMMYFUNCTION("""COMPUTED_VALUE"""),"M")</f>
        <v>M</v>
      </c>
      <c r="F7" s="1" t="str">
        <f>IFERROR(__xludf.DUMMYFUNCTION("""COMPUTED_VALUE"""),"No, not Hispanic or Latino")</f>
        <v>No, not Hispanic or Latino</v>
      </c>
      <c r="G7" s="1" t="str">
        <f>IFERROR(__xludf.DUMMYFUNCTION("""COMPUTED_VALUE"""),"White")</f>
        <v>White</v>
      </c>
      <c r="H7" s="2">
        <f>IFERROR(__xludf.DUMMYFUNCTION("""COMPUTED_VALUE"""),1056.0)</f>
        <v>1056</v>
      </c>
      <c r="I7" s="1" t="str">
        <f>IFERROR(__xludf.DUMMYFUNCTION("""COMPUTED_VALUE"""),"001205")</f>
        <v>001205</v>
      </c>
      <c r="J7" s="3">
        <f>IFERROR(__xludf.DUMMYFUNCTION("""COMPUTED_VALUE"""),44428.0)</f>
        <v>44428</v>
      </c>
    </row>
    <row r="8">
      <c r="A8" s="1" t="str">
        <f>IFERROR(__xludf.DUMMYFUNCTION("""COMPUTED_VALUE"""),"5779091441")</f>
        <v>5779091441</v>
      </c>
      <c r="B8" s="1" t="str">
        <f>IFERROR(__xludf.DUMMYFUNCTION("""COMPUTED_VALUE"""),"Foley")</f>
        <v>Foley</v>
      </c>
      <c r="C8" s="1" t="str">
        <f>IFERROR(__xludf.DUMMYFUNCTION("""COMPUTED_VALUE"""),"Samantha")</f>
        <v>Samantha</v>
      </c>
      <c r="D8" s="2">
        <f>IFERROR(__xludf.DUMMYFUNCTION("""COMPUTED_VALUE"""),8.0)</f>
        <v>8</v>
      </c>
      <c r="E8" s="1" t="str">
        <f>IFERROR(__xludf.DUMMYFUNCTION("""COMPUTED_VALUE"""),"F")</f>
        <v>F</v>
      </c>
      <c r="F8" s="1" t="str">
        <f>IFERROR(__xludf.DUMMYFUNCTION("""COMPUTED_VALUE"""),"No, not Hispanic or Latino")</f>
        <v>No, not Hispanic or Latino</v>
      </c>
      <c r="G8" s="1" t="str">
        <f>IFERROR(__xludf.DUMMYFUNCTION("""COMPUTED_VALUE"""),"White")</f>
        <v>White</v>
      </c>
      <c r="H8" s="2">
        <f>IFERROR(__xludf.DUMMYFUNCTION("""COMPUTED_VALUE"""),1056.0)</f>
        <v>1056</v>
      </c>
      <c r="I8" s="1" t="str">
        <f>IFERROR(__xludf.DUMMYFUNCTION("""COMPUTED_VALUE"""),"001205")</f>
        <v>001205</v>
      </c>
      <c r="J8" s="3">
        <f>IFERROR(__xludf.DUMMYFUNCTION("""COMPUTED_VALUE"""),44428.0)</f>
        <v>44428</v>
      </c>
    </row>
    <row r="9">
      <c r="A9" s="1" t="str">
        <f>IFERROR(__xludf.DUMMYFUNCTION("""COMPUTED_VALUE"""),"2013387041")</f>
        <v>2013387041</v>
      </c>
      <c r="B9" s="1" t="str">
        <f>IFERROR(__xludf.DUMMYFUNCTION("""COMPUTED_VALUE"""),"Gonzalez")</f>
        <v>Gonzalez</v>
      </c>
      <c r="C9" s="1" t="str">
        <f>IFERROR(__xludf.DUMMYFUNCTION("""COMPUTED_VALUE"""),"Alejandro")</f>
        <v>Alejandro</v>
      </c>
      <c r="D9" s="2">
        <f>IFERROR(__xludf.DUMMYFUNCTION("""COMPUTED_VALUE"""),8.0)</f>
        <v>8</v>
      </c>
      <c r="E9" s="1" t="str">
        <f>IFERROR(__xludf.DUMMYFUNCTION("""COMPUTED_VALUE"""),"M")</f>
        <v>M</v>
      </c>
      <c r="F9" s="1" t="str">
        <f>IFERROR(__xludf.DUMMYFUNCTION("""COMPUTED_VALUE"""),"Yes, Hispanic or Latino")</f>
        <v>Yes, Hispanic or Latino</v>
      </c>
      <c r="G9" s="1" t="str">
        <f>IFERROR(__xludf.DUMMYFUNCTION("""COMPUTED_VALUE"""),"White")</f>
        <v>White</v>
      </c>
      <c r="H9" s="2">
        <f>IFERROR(__xludf.DUMMYFUNCTION("""COMPUTED_VALUE"""),1056.0)</f>
        <v>1056</v>
      </c>
      <c r="I9" s="1" t="str">
        <f>IFERROR(__xludf.DUMMYFUNCTION("""COMPUTED_VALUE"""),"001205")</f>
        <v>001205</v>
      </c>
      <c r="J9" s="3">
        <f>IFERROR(__xludf.DUMMYFUNCTION("""COMPUTED_VALUE"""),44428.0)</f>
        <v>44428</v>
      </c>
    </row>
    <row r="10">
      <c r="A10" s="1" t="str">
        <f>IFERROR(__xludf.DUMMYFUNCTION("""COMPUTED_VALUE"""),"1313685281")</f>
        <v>1313685281</v>
      </c>
      <c r="B10" s="1" t="str">
        <f>IFERROR(__xludf.DUMMYFUNCTION("""COMPUTED_VALUE"""),"Harding")</f>
        <v>Harding</v>
      </c>
      <c r="C10" s="1" t="str">
        <f>IFERROR(__xludf.DUMMYFUNCTION("""COMPUTED_VALUE"""),"Mila")</f>
        <v>Mila</v>
      </c>
      <c r="D10" s="2">
        <f>IFERROR(__xludf.DUMMYFUNCTION("""COMPUTED_VALUE"""),8.0)</f>
        <v>8</v>
      </c>
      <c r="E10" s="1" t="str">
        <f>IFERROR(__xludf.DUMMYFUNCTION("""COMPUTED_VALUE"""),"F")</f>
        <v>F</v>
      </c>
      <c r="F10" s="1" t="str">
        <f>IFERROR(__xludf.DUMMYFUNCTION("""COMPUTED_VALUE"""),"No, not Hispanic or Latino")</f>
        <v>No, not Hispanic or Latino</v>
      </c>
      <c r="G10" s="1" t="str">
        <f>IFERROR(__xludf.DUMMYFUNCTION("""COMPUTED_VALUE"""),"White")</f>
        <v>White</v>
      </c>
      <c r="H10" s="2">
        <f>IFERROR(__xludf.DUMMYFUNCTION("""COMPUTED_VALUE"""),1056.0)</f>
        <v>1056</v>
      </c>
      <c r="I10" s="1" t="str">
        <f>IFERROR(__xludf.DUMMYFUNCTION("""COMPUTED_VALUE"""),"001205")</f>
        <v>001205</v>
      </c>
      <c r="J10" s="3">
        <f>IFERROR(__xludf.DUMMYFUNCTION("""COMPUTED_VALUE"""),44428.0)</f>
        <v>44428</v>
      </c>
    </row>
    <row r="11">
      <c r="A11" s="1" t="str">
        <f>IFERROR(__xludf.DUMMYFUNCTION("""COMPUTED_VALUE"""),"2310813922")</f>
        <v>2310813922</v>
      </c>
      <c r="B11" s="1" t="str">
        <f>IFERROR(__xludf.DUMMYFUNCTION("""COMPUTED_VALUE"""),"Hernandez Madrigal")</f>
        <v>Hernandez Madrigal</v>
      </c>
      <c r="C11" s="1" t="str">
        <f>IFERROR(__xludf.DUMMYFUNCTION("""COMPUTED_VALUE"""),"Maggie")</f>
        <v>Maggie</v>
      </c>
      <c r="D11" s="2">
        <f>IFERROR(__xludf.DUMMYFUNCTION("""COMPUTED_VALUE"""),8.0)</f>
        <v>8</v>
      </c>
      <c r="E11" s="1" t="str">
        <f>IFERROR(__xludf.DUMMYFUNCTION("""COMPUTED_VALUE"""),"F")</f>
        <v>F</v>
      </c>
      <c r="F11" s="1" t="str">
        <f>IFERROR(__xludf.DUMMYFUNCTION("""COMPUTED_VALUE"""),"Yes, Hispanic or Latino")</f>
        <v>Yes, Hispanic or Latino</v>
      </c>
      <c r="G11" s="1" t="str">
        <f>IFERROR(__xludf.DUMMYFUNCTION("""COMPUTED_VALUE"""),"White")</f>
        <v>White</v>
      </c>
      <c r="H11" s="2">
        <f>IFERROR(__xludf.DUMMYFUNCTION("""COMPUTED_VALUE"""),1056.0)</f>
        <v>1056</v>
      </c>
      <c r="I11" s="1" t="str">
        <f>IFERROR(__xludf.DUMMYFUNCTION("""COMPUTED_VALUE"""),"001205")</f>
        <v>001205</v>
      </c>
      <c r="J11" s="3">
        <f>IFERROR(__xludf.DUMMYFUNCTION("""COMPUTED_VALUE"""),44428.0)</f>
        <v>44428</v>
      </c>
    </row>
    <row r="12">
      <c r="A12" s="1" t="str">
        <f>IFERROR(__xludf.DUMMYFUNCTION("""COMPUTED_VALUE"""),"3451502158")</f>
        <v>3451502158</v>
      </c>
      <c r="B12" s="1" t="str">
        <f>IFERROR(__xludf.DUMMYFUNCTION("""COMPUTED_VALUE"""),"Keeling")</f>
        <v>Keeling</v>
      </c>
      <c r="C12" s="1" t="str">
        <f>IFERROR(__xludf.DUMMYFUNCTION("""COMPUTED_VALUE"""),"Nevan")</f>
        <v>Nevan</v>
      </c>
      <c r="D12" s="2">
        <f>IFERROR(__xludf.DUMMYFUNCTION("""COMPUTED_VALUE"""),8.0)</f>
        <v>8</v>
      </c>
      <c r="E12" s="1" t="str">
        <f>IFERROR(__xludf.DUMMYFUNCTION("""COMPUTED_VALUE"""),"F")</f>
        <v>F</v>
      </c>
      <c r="F12" s="1" t="str">
        <f>IFERROR(__xludf.DUMMYFUNCTION("""COMPUTED_VALUE"""),"No, not Hispanic or Latino")</f>
        <v>No, not Hispanic or Latino</v>
      </c>
      <c r="G12" s="1" t="str">
        <f>IFERROR(__xludf.DUMMYFUNCTION("""COMPUTED_VALUE"""),"White")</f>
        <v>White</v>
      </c>
      <c r="H12" s="2">
        <f>IFERROR(__xludf.DUMMYFUNCTION("""COMPUTED_VALUE"""),1056.0)</f>
        <v>1056</v>
      </c>
      <c r="I12" s="1" t="str">
        <f>IFERROR(__xludf.DUMMYFUNCTION("""COMPUTED_VALUE"""),"001205")</f>
        <v>001205</v>
      </c>
      <c r="J12" s="3">
        <f>IFERROR(__xludf.DUMMYFUNCTION("""COMPUTED_VALUE"""),44428.0)</f>
        <v>44428</v>
      </c>
    </row>
    <row r="13">
      <c r="A13" s="1" t="str">
        <f>IFERROR(__xludf.DUMMYFUNCTION("""COMPUTED_VALUE"""),"1720010518")</f>
        <v>1720010518</v>
      </c>
      <c r="B13" s="1" t="str">
        <f>IFERROR(__xludf.DUMMYFUNCTION("""COMPUTED_VALUE"""),"Lee")</f>
        <v>Lee</v>
      </c>
      <c r="C13" s="1" t="str">
        <f>IFERROR(__xludf.DUMMYFUNCTION("""COMPUTED_VALUE"""),"Allegra")</f>
        <v>Allegra</v>
      </c>
      <c r="D13" s="2">
        <f>IFERROR(__xludf.DUMMYFUNCTION("""COMPUTED_VALUE"""),7.0)</f>
        <v>7</v>
      </c>
      <c r="E13" s="1" t="str">
        <f>IFERROR(__xludf.DUMMYFUNCTION("""COMPUTED_VALUE"""),"F")</f>
        <v>F</v>
      </c>
      <c r="F13" s="1" t="str">
        <f>IFERROR(__xludf.DUMMYFUNCTION("""COMPUTED_VALUE"""),"No, not Hispanic or Latino")</f>
        <v>No, not Hispanic or Latino</v>
      </c>
      <c r="G13" s="1" t="str">
        <f>IFERROR(__xludf.DUMMYFUNCTION("""COMPUTED_VALUE"""),"Korean")</f>
        <v>Korean</v>
      </c>
      <c r="H13" s="2">
        <f>IFERROR(__xludf.DUMMYFUNCTION("""COMPUTED_VALUE"""),1056.0)</f>
        <v>1056</v>
      </c>
      <c r="I13" s="1" t="str">
        <f>IFERROR(__xludf.DUMMYFUNCTION("""COMPUTED_VALUE"""),"001205")</f>
        <v>001205</v>
      </c>
      <c r="J13" s="3">
        <f>IFERROR(__xludf.DUMMYFUNCTION("""COMPUTED_VALUE"""),44428.0)</f>
        <v>44428</v>
      </c>
    </row>
    <row r="14">
      <c r="A14" s="1" t="str">
        <f>IFERROR(__xludf.DUMMYFUNCTION("""COMPUTED_VALUE"""),"7752821973")</f>
        <v>7752821973</v>
      </c>
      <c r="B14" s="1" t="str">
        <f>IFERROR(__xludf.DUMMYFUNCTION("""COMPUTED_VALUE"""),"Liu")</f>
        <v>Liu</v>
      </c>
      <c r="C14" s="1" t="str">
        <f>IFERROR(__xludf.DUMMYFUNCTION("""COMPUTED_VALUE"""),"En-Yu")</f>
        <v>En-Yu</v>
      </c>
      <c r="D14" s="2">
        <f>IFERROR(__xludf.DUMMYFUNCTION("""COMPUTED_VALUE"""),8.0)</f>
        <v>8</v>
      </c>
      <c r="E14" s="1" t="str">
        <f>IFERROR(__xludf.DUMMYFUNCTION("""COMPUTED_VALUE"""),"M")</f>
        <v>M</v>
      </c>
      <c r="F14" s="1" t="str">
        <f>IFERROR(__xludf.DUMMYFUNCTION("""COMPUTED_VALUE"""),"No, not Hispanic or Latino")</f>
        <v>No, not Hispanic or Latino</v>
      </c>
      <c r="G14" s="1" t="str">
        <f>IFERROR(__xludf.DUMMYFUNCTION("""COMPUTED_VALUE"""),"Chinese")</f>
        <v>Chinese</v>
      </c>
      <c r="H14" s="2">
        <f>IFERROR(__xludf.DUMMYFUNCTION("""COMPUTED_VALUE"""),1056.0)</f>
        <v>1056</v>
      </c>
      <c r="I14" s="1" t="str">
        <f>IFERROR(__xludf.DUMMYFUNCTION("""COMPUTED_VALUE"""),"001205")</f>
        <v>001205</v>
      </c>
      <c r="J14" s="3">
        <f>IFERROR(__xludf.DUMMYFUNCTION("""COMPUTED_VALUE"""),44428.0)</f>
        <v>44428</v>
      </c>
    </row>
    <row r="15">
      <c r="A15" s="1" t="str">
        <f>IFERROR(__xludf.DUMMYFUNCTION("""COMPUTED_VALUE"""),"6430513623")</f>
        <v>6430513623</v>
      </c>
      <c r="B15" s="1" t="str">
        <f>IFERROR(__xludf.DUMMYFUNCTION("""COMPUTED_VALUE"""),"Lopez Morales")</f>
        <v>Lopez Morales</v>
      </c>
      <c r="C15" s="1" t="str">
        <f>IFERROR(__xludf.DUMMYFUNCTION("""COMPUTED_VALUE"""),"Ronny")</f>
        <v>Ronny</v>
      </c>
      <c r="D15" s="2">
        <f>IFERROR(__xludf.DUMMYFUNCTION("""COMPUTED_VALUE"""),8.0)</f>
        <v>8</v>
      </c>
      <c r="E15" s="1" t="str">
        <f>IFERROR(__xludf.DUMMYFUNCTION("""COMPUTED_VALUE"""),"M")</f>
        <v>M</v>
      </c>
      <c r="F15" s="1" t="str">
        <f>IFERROR(__xludf.DUMMYFUNCTION("""COMPUTED_VALUE"""),"Yes, Hispanic or Latino")</f>
        <v>Yes, Hispanic or Latino</v>
      </c>
      <c r="G15" s="1" t="str">
        <f>IFERROR(__xludf.DUMMYFUNCTION("""COMPUTED_VALUE"""),"American Indian or Alaskan Native")</f>
        <v>American Indian or Alaskan Native</v>
      </c>
      <c r="H15" s="2">
        <f>IFERROR(__xludf.DUMMYFUNCTION("""COMPUTED_VALUE"""),1056.0)</f>
        <v>1056</v>
      </c>
      <c r="I15" s="1" t="str">
        <f>IFERROR(__xludf.DUMMYFUNCTION("""COMPUTED_VALUE"""),"001205")</f>
        <v>001205</v>
      </c>
      <c r="J15" s="3">
        <f>IFERROR(__xludf.DUMMYFUNCTION("""COMPUTED_VALUE"""),44428.0)</f>
        <v>44428</v>
      </c>
    </row>
    <row r="16">
      <c r="A16" s="1" t="str">
        <f>IFERROR(__xludf.DUMMYFUNCTION("""COMPUTED_VALUE"""),"1957548341")</f>
        <v>1957548341</v>
      </c>
      <c r="B16" s="1" t="str">
        <f>IFERROR(__xludf.DUMMYFUNCTION("""COMPUTED_VALUE"""),"Marsh")</f>
        <v>Marsh</v>
      </c>
      <c r="C16" s="1" t="str">
        <f>IFERROR(__xludf.DUMMYFUNCTION("""COMPUTED_VALUE"""),"Addison")</f>
        <v>Addison</v>
      </c>
      <c r="D16" s="2">
        <f>IFERROR(__xludf.DUMMYFUNCTION("""COMPUTED_VALUE"""),8.0)</f>
        <v>8</v>
      </c>
      <c r="E16" s="1" t="str">
        <f>IFERROR(__xludf.DUMMYFUNCTION("""COMPUTED_VALUE"""),"F")</f>
        <v>F</v>
      </c>
      <c r="F16" s="1" t="str">
        <f>IFERROR(__xludf.DUMMYFUNCTION("""COMPUTED_VALUE"""),"No, not Hispanic or Latino")</f>
        <v>No, not Hispanic or Latino</v>
      </c>
      <c r="G16" s="1" t="str">
        <f>IFERROR(__xludf.DUMMYFUNCTION("""COMPUTED_VALUE"""),"White")</f>
        <v>White</v>
      </c>
      <c r="H16" s="2">
        <f>IFERROR(__xludf.DUMMYFUNCTION("""COMPUTED_VALUE"""),1056.0)</f>
        <v>1056</v>
      </c>
      <c r="I16" s="1" t="str">
        <f>IFERROR(__xludf.DUMMYFUNCTION("""COMPUTED_VALUE"""),"001205")</f>
        <v>001205</v>
      </c>
      <c r="J16" s="3">
        <f>IFERROR(__xludf.DUMMYFUNCTION("""COMPUTED_VALUE"""),44428.0)</f>
        <v>44428</v>
      </c>
    </row>
    <row r="17">
      <c r="A17" s="1" t="str">
        <f>IFERROR(__xludf.DUMMYFUNCTION("""COMPUTED_VALUE"""),"9949906945")</f>
        <v>9949906945</v>
      </c>
      <c r="B17" s="1" t="str">
        <f>IFERROR(__xludf.DUMMYFUNCTION("""COMPUTED_VALUE"""),"Mastalerz")</f>
        <v>Mastalerz</v>
      </c>
      <c r="C17" s="1" t="str">
        <f>IFERROR(__xludf.DUMMYFUNCTION("""COMPUTED_VALUE"""),"Addison")</f>
        <v>Addison</v>
      </c>
      <c r="D17" s="2">
        <f>IFERROR(__xludf.DUMMYFUNCTION("""COMPUTED_VALUE"""),8.0)</f>
        <v>8</v>
      </c>
      <c r="E17" s="1" t="str">
        <f>IFERROR(__xludf.DUMMYFUNCTION("""COMPUTED_VALUE"""),"F")</f>
        <v>F</v>
      </c>
      <c r="F17" s="1" t="str">
        <f>IFERROR(__xludf.DUMMYFUNCTION("""COMPUTED_VALUE"""),"No, not Hispanic or Latino")</f>
        <v>No, not Hispanic or Latino</v>
      </c>
      <c r="G17" s="1" t="str">
        <f>IFERROR(__xludf.DUMMYFUNCTION("""COMPUTED_VALUE"""),"White")</f>
        <v>White</v>
      </c>
      <c r="H17" s="2">
        <f>IFERROR(__xludf.DUMMYFUNCTION("""COMPUTED_VALUE"""),1056.0)</f>
        <v>1056</v>
      </c>
      <c r="I17" s="1" t="str">
        <f>IFERROR(__xludf.DUMMYFUNCTION("""COMPUTED_VALUE"""),"001205")</f>
        <v>001205</v>
      </c>
      <c r="J17" s="3">
        <f>IFERROR(__xludf.DUMMYFUNCTION("""COMPUTED_VALUE"""),44428.0)</f>
        <v>44428</v>
      </c>
    </row>
    <row r="18">
      <c r="A18" s="1" t="str">
        <f>IFERROR(__xludf.DUMMYFUNCTION("""COMPUTED_VALUE"""),"7439865401")</f>
        <v>7439865401</v>
      </c>
      <c r="B18" s="1" t="str">
        <f>IFERROR(__xludf.DUMMYFUNCTION("""COMPUTED_VALUE"""),"McBride")</f>
        <v>McBride</v>
      </c>
      <c r="C18" s="1" t="str">
        <f>IFERROR(__xludf.DUMMYFUNCTION("""COMPUTED_VALUE"""),"Cillian")</f>
        <v>Cillian</v>
      </c>
      <c r="D18" s="2">
        <f>IFERROR(__xludf.DUMMYFUNCTION("""COMPUTED_VALUE"""),8.0)</f>
        <v>8</v>
      </c>
      <c r="E18" s="1" t="str">
        <f>IFERROR(__xludf.DUMMYFUNCTION("""COMPUTED_VALUE"""),"M")</f>
        <v>M</v>
      </c>
      <c r="F18" s="1" t="str">
        <f>IFERROR(__xludf.DUMMYFUNCTION("""COMPUTED_VALUE"""),"No, not Hispanic or Latino")</f>
        <v>No, not Hispanic or Latino</v>
      </c>
      <c r="G18" s="1" t="str">
        <f>IFERROR(__xludf.DUMMYFUNCTION("""COMPUTED_VALUE"""),"White")</f>
        <v>White</v>
      </c>
      <c r="H18" s="2">
        <f>IFERROR(__xludf.DUMMYFUNCTION("""COMPUTED_VALUE"""),1056.0)</f>
        <v>1056</v>
      </c>
      <c r="I18" s="1" t="str">
        <f>IFERROR(__xludf.DUMMYFUNCTION("""COMPUTED_VALUE"""),"001205")</f>
        <v>001205</v>
      </c>
      <c r="J18" s="3">
        <f>IFERROR(__xludf.DUMMYFUNCTION("""COMPUTED_VALUE"""),44428.0)</f>
        <v>44428</v>
      </c>
    </row>
    <row r="19">
      <c r="A19" s="1" t="str">
        <f>IFERROR(__xludf.DUMMYFUNCTION("""COMPUTED_VALUE"""),"4669372146")</f>
        <v>4669372146</v>
      </c>
      <c r="B19" s="1" t="str">
        <f>IFERROR(__xludf.DUMMYFUNCTION("""COMPUTED_VALUE"""),"McCoy")</f>
        <v>McCoy</v>
      </c>
      <c r="C19" s="1" t="str">
        <f>IFERROR(__xludf.DUMMYFUNCTION("""COMPUTED_VALUE"""),"Amelia")</f>
        <v>Amelia</v>
      </c>
      <c r="D19" s="2">
        <f>IFERROR(__xludf.DUMMYFUNCTION("""COMPUTED_VALUE"""),7.0)</f>
        <v>7</v>
      </c>
      <c r="E19" s="1" t="str">
        <f>IFERROR(__xludf.DUMMYFUNCTION("""COMPUTED_VALUE"""),"F")</f>
        <v>F</v>
      </c>
      <c r="F19" s="1" t="str">
        <f>IFERROR(__xludf.DUMMYFUNCTION("""COMPUTED_VALUE"""),"No, not Hispanic or Latino")</f>
        <v>No, not Hispanic or Latino</v>
      </c>
      <c r="G19" s="1" t="str">
        <f>IFERROR(__xludf.DUMMYFUNCTION("""COMPUTED_VALUE"""),"White")</f>
        <v>White</v>
      </c>
      <c r="H19" s="2">
        <f>IFERROR(__xludf.DUMMYFUNCTION("""COMPUTED_VALUE"""),1056.0)</f>
        <v>1056</v>
      </c>
      <c r="I19" s="1" t="str">
        <f>IFERROR(__xludf.DUMMYFUNCTION("""COMPUTED_VALUE"""),"001205")</f>
        <v>001205</v>
      </c>
      <c r="J19" s="3">
        <f>IFERROR(__xludf.DUMMYFUNCTION("""COMPUTED_VALUE"""),44428.0)</f>
        <v>44428</v>
      </c>
    </row>
    <row r="20">
      <c r="A20" s="1" t="str">
        <f>IFERROR(__xludf.DUMMYFUNCTION("""COMPUTED_VALUE"""),"6276515940")</f>
        <v>6276515940</v>
      </c>
      <c r="B20" s="1" t="str">
        <f>IFERROR(__xludf.DUMMYFUNCTION("""COMPUTED_VALUE"""),"McPherson")</f>
        <v>McPherson</v>
      </c>
      <c r="C20" s="1" t="str">
        <f>IFERROR(__xludf.DUMMYFUNCTION("""COMPUTED_VALUE"""),"Meadow")</f>
        <v>Meadow</v>
      </c>
      <c r="D20" s="2">
        <f>IFERROR(__xludf.DUMMYFUNCTION("""COMPUTED_VALUE"""),8.0)</f>
        <v>8</v>
      </c>
      <c r="E20" s="1" t="str">
        <f>IFERROR(__xludf.DUMMYFUNCTION("""COMPUTED_VALUE"""),"F")</f>
        <v>F</v>
      </c>
      <c r="F20" s="1" t="str">
        <f>IFERROR(__xludf.DUMMYFUNCTION("""COMPUTED_VALUE"""),"No, not Hispanic or Latino")</f>
        <v>No, not Hispanic or Latino</v>
      </c>
      <c r="G20" s="1" t="str">
        <f>IFERROR(__xludf.DUMMYFUNCTION("""COMPUTED_VALUE"""),"White")</f>
        <v>White</v>
      </c>
      <c r="H20" s="2">
        <f>IFERROR(__xludf.DUMMYFUNCTION("""COMPUTED_VALUE"""),1056.0)</f>
        <v>1056</v>
      </c>
      <c r="I20" s="1" t="str">
        <f>IFERROR(__xludf.DUMMYFUNCTION("""COMPUTED_VALUE"""),"001205")</f>
        <v>001205</v>
      </c>
      <c r="J20" s="3">
        <f>IFERROR(__xludf.DUMMYFUNCTION("""COMPUTED_VALUE"""),44428.0)</f>
        <v>44428</v>
      </c>
    </row>
    <row r="21">
      <c r="A21" s="1" t="str">
        <f>IFERROR(__xludf.DUMMYFUNCTION("""COMPUTED_VALUE"""),"3605522927")</f>
        <v>3605522927</v>
      </c>
      <c r="B21" s="1" t="str">
        <f>IFERROR(__xludf.DUMMYFUNCTION("""COMPUTED_VALUE"""),"Molloy")</f>
        <v>Molloy</v>
      </c>
      <c r="C21" s="1" t="str">
        <f>IFERROR(__xludf.DUMMYFUNCTION("""COMPUTED_VALUE"""),"Kaylyn")</f>
        <v>Kaylyn</v>
      </c>
      <c r="D21" s="2">
        <f>IFERROR(__xludf.DUMMYFUNCTION("""COMPUTED_VALUE"""),8.0)</f>
        <v>8</v>
      </c>
      <c r="E21" s="1" t="str">
        <f>IFERROR(__xludf.DUMMYFUNCTION("""COMPUTED_VALUE"""),"F")</f>
        <v>F</v>
      </c>
      <c r="F21" s="1" t="str">
        <f>IFERROR(__xludf.DUMMYFUNCTION("""COMPUTED_VALUE"""),"No, not Hispanic or Latino")</f>
        <v>No, not Hispanic or Latino</v>
      </c>
      <c r="G21" s="1" t="str">
        <f>IFERROR(__xludf.DUMMYFUNCTION("""COMPUTED_VALUE"""),"Samoan")</f>
        <v>Samoan</v>
      </c>
      <c r="H21" s="2">
        <f>IFERROR(__xludf.DUMMYFUNCTION("""COMPUTED_VALUE"""),1056.0)</f>
        <v>1056</v>
      </c>
      <c r="I21" s="1" t="str">
        <f>IFERROR(__xludf.DUMMYFUNCTION("""COMPUTED_VALUE"""),"001205")</f>
        <v>001205</v>
      </c>
      <c r="J21" s="3">
        <f>IFERROR(__xludf.DUMMYFUNCTION("""COMPUTED_VALUE"""),44428.0)</f>
        <v>44428</v>
      </c>
    </row>
    <row r="22">
      <c r="A22" s="1" t="str">
        <f>IFERROR(__xludf.DUMMYFUNCTION("""COMPUTED_VALUE"""),"9967232801")</f>
        <v>9967232801</v>
      </c>
      <c r="B22" s="1" t="str">
        <f>IFERROR(__xludf.DUMMYFUNCTION("""COMPUTED_VALUE"""),"Mondragon Aguerrebere")</f>
        <v>Mondragon Aguerrebere</v>
      </c>
      <c r="C22" s="1" t="str">
        <f>IFERROR(__xludf.DUMMYFUNCTION("""COMPUTED_VALUE"""),"Carmen")</f>
        <v>Carmen</v>
      </c>
      <c r="D22" s="2">
        <f>IFERROR(__xludf.DUMMYFUNCTION("""COMPUTED_VALUE"""),8.0)</f>
        <v>8</v>
      </c>
      <c r="E22" s="1" t="str">
        <f>IFERROR(__xludf.DUMMYFUNCTION("""COMPUTED_VALUE"""),"F")</f>
        <v>F</v>
      </c>
      <c r="F22" s="1" t="str">
        <f>IFERROR(__xludf.DUMMYFUNCTION("""COMPUTED_VALUE"""),"No, not Hispanic or Latino")</f>
        <v>No, not Hispanic or Latino</v>
      </c>
      <c r="G22" s="1" t="str">
        <f>IFERROR(__xludf.DUMMYFUNCTION("""COMPUTED_VALUE"""),"White")</f>
        <v>White</v>
      </c>
      <c r="H22" s="2">
        <f>IFERROR(__xludf.DUMMYFUNCTION("""COMPUTED_VALUE"""),1056.0)</f>
        <v>1056</v>
      </c>
      <c r="I22" s="1" t="str">
        <f>IFERROR(__xludf.DUMMYFUNCTION("""COMPUTED_VALUE"""),"001205")</f>
        <v>001205</v>
      </c>
      <c r="J22" s="3">
        <f>IFERROR(__xludf.DUMMYFUNCTION("""COMPUTED_VALUE"""),44428.0)</f>
        <v>44428</v>
      </c>
    </row>
    <row r="23">
      <c r="A23" s="1" t="str">
        <f>IFERROR(__xludf.DUMMYFUNCTION("""COMPUTED_VALUE"""),"4151381242")</f>
        <v>4151381242</v>
      </c>
      <c r="B23" s="1" t="str">
        <f>IFERROR(__xludf.DUMMYFUNCTION("""COMPUTED_VALUE"""),"Muguruza McDonnell")</f>
        <v>Muguruza McDonnell</v>
      </c>
      <c r="C23" s="1" t="str">
        <f>IFERROR(__xludf.DUMMYFUNCTION("""COMPUTED_VALUE"""),"Madan")</f>
        <v>Madan</v>
      </c>
      <c r="D23" s="2">
        <f>IFERROR(__xludf.DUMMYFUNCTION("""COMPUTED_VALUE"""),7.0)</f>
        <v>7</v>
      </c>
      <c r="E23" s="1" t="str">
        <f>IFERROR(__xludf.DUMMYFUNCTION("""COMPUTED_VALUE"""),"M")</f>
        <v>M</v>
      </c>
      <c r="F23" s="1" t="str">
        <f>IFERROR(__xludf.DUMMYFUNCTION("""COMPUTED_VALUE"""),"Yes, Hispanic or Latino")</f>
        <v>Yes, Hispanic or Latino</v>
      </c>
      <c r="G23" s="1" t="str">
        <f>IFERROR(__xludf.DUMMYFUNCTION("""COMPUTED_VALUE"""),"White")</f>
        <v>White</v>
      </c>
      <c r="H23" s="2">
        <f>IFERROR(__xludf.DUMMYFUNCTION("""COMPUTED_VALUE"""),1056.0)</f>
        <v>1056</v>
      </c>
      <c r="I23" s="1" t="str">
        <f>IFERROR(__xludf.DUMMYFUNCTION("""COMPUTED_VALUE"""),"001205")</f>
        <v>001205</v>
      </c>
      <c r="J23" s="3">
        <f>IFERROR(__xludf.DUMMYFUNCTION("""COMPUTED_VALUE"""),44428.0)</f>
        <v>44428</v>
      </c>
    </row>
    <row r="24">
      <c r="A24" s="1" t="str">
        <f>IFERROR(__xludf.DUMMYFUNCTION("""COMPUTED_VALUE"""),"3026054766")</f>
        <v>3026054766</v>
      </c>
      <c r="B24" s="1" t="str">
        <f>IFERROR(__xludf.DUMMYFUNCTION("""COMPUTED_VALUE"""),"Reyes Rodriguez")</f>
        <v>Reyes Rodriguez</v>
      </c>
      <c r="C24" s="1" t="str">
        <f>IFERROR(__xludf.DUMMYFUNCTION("""COMPUTED_VALUE"""),"Ashley")</f>
        <v>Ashley</v>
      </c>
      <c r="D24" s="2">
        <f>IFERROR(__xludf.DUMMYFUNCTION("""COMPUTED_VALUE"""),8.0)</f>
        <v>8</v>
      </c>
      <c r="E24" s="1" t="str">
        <f>IFERROR(__xludf.DUMMYFUNCTION("""COMPUTED_VALUE"""),"F")</f>
        <v>F</v>
      </c>
      <c r="F24" s="1" t="str">
        <f>IFERROR(__xludf.DUMMYFUNCTION("""COMPUTED_VALUE"""),"Yes, Hispanic or Latino")</f>
        <v>Yes, Hispanic or Latino</v>
      </c>
      <c r="G24" s="1" t="str">
        <f>IFERROR(__xludf.DUMMYFUNCTION("""COMPUTED_VALUE"""),"American Indian or Alaskan Native")</f>
        <v>American Indian or Alaskan Native</v>
      </c>
      <c r="H24" s="2">
        <f>IFERROR(__xludf.DUMMYFUNCTION("""COMPUTED_VALUE"""),1056.0)</f>
        <v>1056</v>
      </c>
      <c r="I24" s="1" t="str">
        <f>IFERROR(__xludf.DUMMYFUNCTION("""COMPUTED_VALUE"""),"001205")</f>
        <v>001205</v>
      </c>
      <c r="J24" s="3">
        <f>IFERROR(__xludf.DUMMYFUNCTION("""COMPUTED_VALUE"""),44428.0)</f>
        <v>44428</v>
      </c>
    </row>
    <row r="25">
      <c r="A25" s="1" t="str">
        <f>IFERROR(__xludf.DUMMYFUNCTION("""COMPUTED_VALUE"""),"1266097274")</f>
        <v>1266097274</v>
      </c>
      <c r="B25" s="1" t="str">
        <f>IFERROR(__xludf.DUMMYFUNCTION("""COMPUTED_VALUE"""),"Rodriguez Mendez")</f>
        <v>Rodriguez Mendez</v>
      </c>
      <c r="C25" s="1" t="str">
        <f>IFERROR(__xludf.DUMMYFUNCTION("""COMPUTED_VALUE"""),"Marcela")</f>
        <v>Marcela</v>
      </c>
      <c r="D25" s="2">
        <f>IFERROR(__xludf.DUMMYFUNCTION("""COMPUTED_VALUE"""),7.0)</f>
        <v>7</v>
      </c>
      <c r="E25" s="1" t="str">
        <f>IFERROR(__xludf.DUMMYFUNCTION("""COMPUTED_VALUE"""),"F")</f>
        <v>F</v>
      </c>
      <c r="F25" s="1" t="str">
        <f>IFERROR(__xludf.DUMMYFUNCTION("""COMPUTED_VALUE"""),"Yes, Hispanic or Latino")</f>
        <v>Yes, Hispanic or Latino</v>
      </c>
      <c r="G25" s="1" t="str">
        <f>IFERROR(__xludf.DUMMYFUNCTION("""COMPUTED_VALUE"""),"White")</f>
        <v>White</v>
      </c>
      <c r="H25" s="2">
        <f>IFERROR(__xludf.DUMMYFUNCTION("""COMPUTED_VALUE"""),1056.0)</f>
        <v>1056</v>
      </c>
      <c r="I25" s="1" t="str">
        <f>IFERROR(__xludf.DUMMYFUNCTION("""COMPUTED_VALUE"""),"001205")</f>
        <v>001205</v>
      </c>
      <c r="J25" s="3">
        <f>IFERROR(__xludf.DUMMYFUNCTION("""COMPUTED_VALUE"""),44428.0)</f>
        <v>44428</v>
      </c>
    </row>
    <row r="26">
      <c r="A26" s="1" t="str">
        <f>IFERROR(__xludf.DUMMYFUNCTION("""COMPUTED_VALUE"""),"6712415605")</f>
        <v>6712415605</v>
      </c>
      <c r="B26" s="1" t="str">
        <f>IFERROR(__xludf.DUMMYFUNCTION("""COMPUTED_VALUE"""),"Smith")</f>
        <v>Smith</v>
      </c>
      <c r="C26" s="1" t="str">
        <f>IFERROR(__xludf.DUMMYFUNCTION("""COMPUTED_VALUE"""),"Phenix")</f>
        <v>Phenix</v>
      </c>
      <c r="D26" s="2">
        <f>IFERROR(__xludf.DUMMYFUNCTION("""COMPUTED_VALUE"""),7.0)</f>
        <v>7</v>
      </c>
      <c r="E26" s="1" t="str">
        <f>IFERROR(__xludf.DUMMYFUNCTION("""COMPUTED_VALUE"""),"F")</f>
        <v>F</v>
      </c>
      <c r="F26" s="1" t="str">
        <f>IFERROR(__xludf.DUMMYFUNCTION("""COMPUTED_VALUE"""),"No, not Hispanic or Latino")</f>
        <v>No, not Hispanic or Latino</v>
      </c>
      <c r="G26" s="1" t="str">
        <f>IFERROR(__xludf.DUMMYFUNCTION("""COMPUTED_VALUE"""),"Black or African American")</f>
        <v>Black or African American</v>
      </c>
      <c r="H26" s="2">
        <f>IFERROR(__xludf.DUMMYFUNCTION("""COMPUTED_VALUE"""),1056.0)</f>
        <v>1056</v>
      </c>
      <c r="I26" s="1" t="str">
        <f>IFERROR(__xludf.DUMMYFUNCTION("""COMPUTED_VALUE"""),"001205")</f>
        <v>001205</v>
      </c>
      <c r="J26" s="3">
        <f>IFERROR(__xludf.DUMMYFUNCTION("""COMPUTED_VALUE"""),44428.0)</f>
        <v>44428</v>
      </c>
    </row>
    <row r="27">
      <c r="A27" s="1" t="str">
        <f>IFERROR(__xludf.DUMMYFUNCTION("""COMPUTED_VALUE"""),"4089197654")</f>
        <v>4089197654</v>
      </c>
      <c r="B27" s="1" t="str">
        <f>IFERROR(__xludf.DUMMYFUNCTION("""COMPUTED_VALUE"""),"Snekkevik")</f>
        <v>Snekkevik</v>
      </c>
      <c r="C27" s="1" t="str">
        <f>IFERROR(__xludf.DUMMYFUNCTION("""COMPUTED_VALUE"""),"Finn")</f>
        <v>Finn</v>
      </c>
      <c r="D27" s="2">
        <f>IFERROR(__xludf.DUMMYFUNCTION("""COMPUTED_VALUE"""),8.0)</f>
        <v>8</v>
      </c>
      <c r="E27" s="1" t="str">
        <f>IFERROR(__xludf.DUMMYFUNCTION("""COMPUTED_VALUE"""),"M")</f>
        <v>M</v>
      </c>
      <c r="F27" s="1" t="str">
        <f>IFERROR(__xludf.DUMMYFUNCTION("""COMPUTED_VALUE"""),"No, not Hispanic or Latino")</f>
        <v>No, not Hispanic or Latino</v>
      </c>
      <c r="G27" s="1" t="str">
        <f>IFERROR(__xludf.DUMMYFUNCTION("""COMPUTED_VALUE"""),"White")</f>
        <v>White</v>
      </c>
      <c r="H27" s="2">
        <f>IFERROR(__xludf.DUMMYFUNCTION("""COMPUTED_VALUE"""),1056.0)</f>
        <v>1056</v>
      </c>
      <c r="I27" s="1" t="str">
        <f>IFERROR(__xludf.DUMMYFUNCTION("""COMPUTED_VALUE"""),"001205")</f>
        <v>001205</v>
      </c>
      <c r="J27" s="3">
        <f>IFERROR(__xludf.DUMMYFUNCTION("""COMPUTED_VALUE"""),44428.0)</f>
        <v>44428</v>
      </c>
    </row>
    <row r="28">
      <c r="A28" s="1" t="str">
        <f>IFERROR(__xludf.DUMMYFUNCTION("""COMPUTED_VALUE"""),"8280776215")</f>
        <v>8280776215</v>
      </c>
      <c r="B28" s="1" t="str">
        <f>IFERROR(__xludf.DUMMYFUNCTION("""COMPUTED_VALUE"""),"Starrett")</f>
        <v>Starrett</v>
      </c>
      <c r="C28" s="1" t="str">
        <f>IFERROR(__xludf.DUMMYFUNCTION("""COMPUTED_VALUE"""),"Caroline")</f>
        <v>Caroline</v>
      </c>
      <c r="D28" s="2">
        <f>IFERROR(__xludf.DUMMYFUNCTION("""COMPUTED_VALUE"""),8.0)</f>
        <v>8</v>
      </c>
      <c r="E28" s="1" t="str">
        <f>IFERROR(__xludf.DUMMYFUNCTION("""COMPUTED_VALUE"""),"F")</f>
        <v>F</v>
      </c>
      <c r="F28" s="1" t="str">
        <f>IFERROR(__xludf.DUMMYFUNCTION("""COMPUTED_VALUE"""),"No, not Hispanic or Latino")</f>
        <v>No, not Hispanic or Latino</v>
      </c>
      <c r="G28" s="1" t="str">
        <f>IFERROR(__xludf.DUMMYFUNCTION("""COMPUTED_VALUE"""),"White")</f>
        <v>White</v>
      </c>
      <c r="H28" s="2">
        <f>IFERROR(__xludf.DUMMYFUNCTION("""COMPUTED_VALUE"""),1056.0)</f>
        <v>1056</v>
      </c>
      <c r="I28" s="1" t="str">
        <f>IFERROR(__xludf.DUMMYFUNCTION("""COMPUTED_VALUE"""),"001205")</f>
        <v>001205</v>
      </c>
      <c r="J28" s="3">
        <f>IFERROR(__xludf.DUMMYFUNCTION("""COMPUTED_VALUE"""),44428.0)</f>
        <v>44428</v>
      </c>
    </row>
    <row r="29">
      <c r="A29" s="1" t="str">
        <f>IFERROR(__xludf.DUMMYFUNCTION("""COMPUTED_VALUE"""),"6608300894")</f>
        <v>6608300894</v>
      </c>
      <c r="B29" s="1" t="str">
        <f>IFERROR(__xludf.DUMMYFUNCTION("""COMPUTED_VALUE"""),"Valentine")</f>
        <v>Valentine</v>
      </c>
      <c r="C29" s="1" t="str">
        <f>IFERROR(__xludf.DUMMYFUNCTION("""COMPUTED_VALUE"""),"Lily")</f>
        <v>Lily</v>
      </c>
      <c r="D29" s="2">
        <f>IFERROR(__xludf.DUMMYFUNCTION("""COMPUTED_VALUE"""),8.0)</f>
        <v>8</v>
      </c>
      <c r="E29" s="1" t="str">
        <f>IFERROR(__xludf.DUMMYFUNCTION("""COMPUTED_VALUE"""),"F")</f>
        <v>F</v>
      </c>
      <c r="F29" s="1" t="str">
        <f>IFERROR(__xludf.DUMMYFUNCTION("""COMPUTED_VALUE"""),"No, not Hispanic or Latino")</f>
        <v>No, not Hispanic or Latino</v>
      </c>
      <c r="G29" s="1" t="str">
        <f>IFERROR(__xludf.DUMMYFUNCTION("""COMPUTED_VALUE"""),"White")</f>
        <v>White</v>
      </c>
      <c r="H29" s="2">
        <f>IFERROR(__xludf.DUMMYFUNCTION("""COMPUTED_VALUE"""),1056.0)</f>
        <v>1056</v>
      </c>
      <c r="I29" s="1" t="str">
        <f>IFERROR(__xludf.DUMMYFUNCTION("""COMPUTED_VALUE"""),"001205")</f>
        <v>001205</v>
      </c>
      <c r="J29" s="3">
        <f>IFERROR(__xludf.DUMMYFUNCTION("""COMPUTED_VALUE"""),44428.0)</f>
        <v>44428</v>
      </c>
    </row>
    <row r="30">
      <c r="A30" s="1" t="str">
        <f>IFERROR(__xludf.DUMMYFUNCTION("""COMPUTED_VALUE"""),"7251696268")</f>
        <v>7251696268</v>
      </c>
      <c r="B30" s="1" t="str">
        <f>IFERROR(__xludf.DUMMYFUNCTION("""COMPUTED_VALUE"""),"Vila-Garcia")</f>
        <v>Vila-Garcia</v>
      </c>
      <c r="C30" s="1" t="str">
        <f>IFERROR(__xludf.DUMMYFUNCTION("""COMPUTED_VALUE"""),"Izel")</f>
        <v>Izel</v>
      </c>
      <c r="D30" s="2">
        <f>IFERROR(__xludf.DUMMYFUNCTION("""COMPUTED_VALUE"""),7.0)</f>
        <v>7</v>
      </c>
      <c r="E30" s="1" t="str">
        <f>IFERROR(__xludf.DUMMYFUNCTION("""COMPUTED_VALUE"""),"F")</f>
        <v>F</v>
      </c>
      <c r="F30" s="1" t="str">
        <f>IFERROR(__xludf.DUMMYFUNCTION("""COMPUTED_VALUE"""),"Yes, Hispanic or Latino")</f>
        <v>Yes, Hispanic or Latino</v>
      </c>
      <c r="G30" s="1" t="str">
        <f>IFERROR(__xludf.DUMMYFUNCTION("""COMPUTED_VALUE"""),"White")</f>
        <v>White</v>
      </c>
      <c r="H30" s="2">
        <f>IFERROR(__xludf.DUMMYFUNCTION("""COMPUTED_VALUE"""),1056.0)</f>
        <v>1056</v>
      </c>
      <c r="I30" s="1" t="str">
        <f>IFERROR(__xludf.DUMMYFUNCTION("""COMPUTED_VALUE"""),"001205")</f>
        <v>001205</v>
      </c>
      <c r="J30" s="3">
        <f>IFERROR(__xludf.DUMMYFUNCTION("""COMPUTED_VALUE"""),44428.0)</f>
        <v>44428</v>
      </c>
    </row>
    <row r="31">
      <c r="A31" s="1" t="str">
        <f>IFERROR(__xludf.DUMMYFUNCTION("""COMPUTED_VALUE"""),"9344877581")</f>
        <v>9344877581</v>
      </c>
      <c r="B31" s="1" t="str">
        <f>IFERROR(__xludf.DUMMYFUNCTION("""COMPUTED_VALUE"""),"Volkov")</f>
        <v>Volkov</v>
      </c>
      <c r="C31" s="1" t="str">
        <f>IFERROR(__xludf.DUMMYFUNCTION("""COMPUTED_VALUE"""),"Sofia")</f>
        <v>Sofia</v>
      </c>
      <c r="D31" s="2">
        <f>IFERROR(__xludf.DUMMYFUNCTION("""COMPUTED_VALUE"""),7.0)</f>
        <v>7</v>
      </c>
      <c r="E31" s="1" t="str">
        <f>IFERROR(__xludf.DUMMYFUNCTION("""COMPUTED_VALUE"""),"F")</f>
        <v>F</v>
      </c>
      <c r="F31" s="1" t="str">
        <f>IFERROR(__xludf.DUMMYFUNCTION("""COMPUTED_VALUE"""),"No, not Hispanic or Latino")</f>
        <v>No, not Hispanic or Latino</v>
      </c>
      <c r="G31" s="1" t="str">
        <f>IFERROR(__xludf.DUMMYFUNCTION("""COMPUTED_VALUE"""),"White")</f>
        <v>White</v>
      </c>
      <c r="H31" s="2">
        <f>IFERROR(__xludf.DUMMYFUNCTION("""COMPUTED_VALUE"""),1056.0)</f>
        <v>1056</v>
      </c>
      <c r="I31" s="1" t="str">
        <f>IFERROR(__xludf.DUMMYFUNCTION("""COMPUTED_VALUE"""),"001205")</f>
        <v>001205</v>
      </c>
      <c r="J31" s="3">
        <f>IFERROR(__xludf.DUMMYFUNCTION("""COMPUTED_VALUE"""),44428.0)</f>
        <v>44428</v>
      </c>
    </row>
    <row r="32">
      <c r="A32" s="1" t="str">
        <f>IFERROR(__xludf.DUMMYFUNCTION("""COMPUTED_VALUE"""),"9008938945")</f>
        <v>9008938945</v>
      </c>
      <c r="B32" s="1" t="str">
        <f>IFERROR(__xludf.DUMMYFUNCTION("""COMPUTED_VALUE"""),"Wadford")</f>
        <v>Wadford</v>
      </c>
      <c r="C32" s="1" t="str">
        <f>IFERROR(__xludf.DUMMYFUNCTION("""COMPUTED_VALUE"""),"Bree")</f>
        <v>Bree</v>
      </c>
      <c r="D32" s="2">
        <f>IFERROR(__xludf.DUMMYFUNCTION("""COMPUTED_VALUE"""),7.0)</f>
        <v>7</v>
      </c>
      <c r="E32" s="1" t="str">
        <f>IFERROR(__xludf.DUMMYFUNCTION("""COMPUTED_VALUE"""),"F")</f>
        <v>F</v>
      </c>
      <c r="F32" s="1" t="str">
        <f>IFERROR(__xludf.DUMMYFUNCTION("""COMPUTED_VALUE"""),"No, not Hispanic or Latino")</f>
        <v>No, not Hispanic or Latino</v>
      </c>
      <c r="G32" s="1" t="str">
        <f>IFERROR(__xludf.DUMMYFUNCTION("""COMPUTED_VALUE"""),"Black or African American")</f>
        <v>Black or African American</v>
      </c>
      <c r="H32" s="2">
        <f>IFERROR(__xludf.DUMMYFUNCTION("""COMPUTED_VALUE"""),1056.0)</f>
        <v>1056</v>
      </c>
      <c r="I32" s="1" t="str">
        <f>IFERROR(__xludf.DUMMYFUNCTION("""COMPUTED_VALUE"""),"001205")</f>
        <v>001205</v>
      </c>
      <c r="J32" s="3">
        <f>IFERROR(__xludf.DUMMYFUNCTION("""COMPUTED_VALUE"""),44428.0)</f>
        <v>44428</v>
      </c>
    </row>
    <row r="33">
      <c r="A33" s="1" t="str">
        <f>IFERROR(__xludf.DUMMYFUNCTION("""COMPUTED_VALUE"""),"3044380140")</f>
        <v>3044380140</v>
      </c>
      <c r="B33" s="1" t="str">
        <f>IFERROR(__xludf.DUMMYFUNCTION("""COMPUTED_VALUE"""),"Winter")</f>
        <v>Winter</v>
      </c>
      <c r="C33" s="1" t="str">
        <f>IFERROR(__xludf.DUMMYFUNCTION("""COMPUTED_VALUE"""),"Sadie")</f>
        <v>Sadie</v>
      </c>
      <c r="D33" s="2">
        <f>IFERROR(__xludf.DUMMYFUNCTION("""COMPUTED_VALUE"""),8.0)</f>
        <v>8</v>
      </c>
      <c r="E33" s="1" t="str">
        <f>IFERROR(__xludf.DUMMYFUNCTION("""COMPUTED_VALUE"""),"F")</f>
        <v>F</v>
      </c>
      <c r="F33" s="1" t="str">
        <f>IFERROR(__xludf.DUMMYFUNCTION("""COMPUTED_VALUE"""),"No, not Hispanic or Latino")</f>
        <v>No, not Hispanic or Latino</v>
      </c>
      <c r="G33" s="1" t="str">
        <f>IFERROR(__xludf.DUMMYFUNCTION("""COMPUTED_VALUE"""),"White")</f>
        <v>White</v>
      </c>
      <c r="H33" s="2">
        <f>IFERROR(__xludf.DUMMYFUNCTION("""COMPUTED_VALUE"""),1056.0)</f>
        <v>1056</v>
      </c>
      <c r="I33" s="1" t="str">
        <f>IFERROR(__xludf.DUMMYFUNCTION("""COMPUTED_VALUE"""),"001205")</f>
        <v>001205</v>
      </c>
      <c r="J33" s="3">
        <f>IFERROR(__xludf.DUMMYFUNCTION("""COMPUTED_VALUE"""),44428.0)</f>
        <v>44428</v>
      </c>
    </row>
    <row r="34">
      <c r="A34" s="1" t="str">
        <f>IFERROR(__xludf.DUMMYFUNCTION("""COMPUTED_VALUE"""),"1065943697")</f>
        <v>1065943697</v>
      </c>
      <c r="B34" s="1" t="str">
        <f>IFERROR(__xludf.DUMMYFUNCTION("""COMPUTED_VALUE"""),"Alvarado")</f>
        <v>Alvarado</v>
      </c>
      <c r="C34" s="1" t="str">
        <f>IFERROR(__xludf.DUMMYFUNCTION("""COMPUTED_VALUE"""),"Bella")</f>
        <v>Bella</v>
      </c>
      <c r="D34" s="2">
        <f>IFERROR(__xludf.DUMMYFUNCTION("""COMPUTED_VALUE"""),7.0)</f>
        <v>7</v>
      </c>
      <c r="E34" s="1" t="str">
        <f>IFERROR(__xludf.DUMMYFUNCTION("""COMPUTED_VALUE"""),"F")</f>
        <v>F</v>
      </c>
      <c r="F34" s="1" t="str">
        <f>IFERROR(__xludf.DUMMYFUNCTION("""COMPUTED_VALUE"""),"Yes, Hispanic or Latino")</f>
        <v>Yes, Hispanic or Latino</v>
      </c>
      <c r="G34" s="1" t="str">
        <f>IFERROR(__xludf.DUMMYFUNCTION("""COMPUTED_VALUE"""),"Laotian")</f>
        <v>Laotian</v>
      </c>
      <c r="H34" s="2">
        <f>IFERROR(__xludf.DUMMYFUNCTION("""COMPUTED_VALUE"""),1014.0)</f>
        <v>1014</v>
      </c>
      <c r="I34" s="1" t="str">
        <f>IFERROR(__xludf.DUMMYFUNCTION("""COMPUTED_VALUE"""),"001205")</f>
        <v>001205</v>
      </c>
      <c r="J34" s="3">
        <f>IFERROR(__xludf.DUMMYFUNCTION("""COMPUTED_VALUE"""),44792.0)</f>
        <v>44792</v>
      </c>
    </row>
    <row r="35">
      <c r="A35" s="1" t="str">
        <f>IFERROR(__xludf.DUMMYFUNCTION("""COMPUTED_VALUE"""),"9945837606")</f>
        <v>9945837606</v>
      </c>
      <c r="B35" s="1" t="str">
        <f>IFERROR(__xludf.DUMMYFUNCTION("""COMPUTED_VALUE"""),"Anglade")</f>
        <v>Anglade</v>
      </c>
      <c r="C35" s="1" t="str">
        <f>IFERROR(__xludf.DUMMYFUNCTION("""COMPUTED_VALUE"""),"Bertrand")</f>
        <v>Bertrand</v>
      </c>
      <c r="D35" s="2">
        <f>IFERROR(__xludf.DUMMYFUNCTION("""COMPUTED_VALUE"""),8.0)</f>
        <v>8</v>
      </c>
      <c r="E35" s="1" t="str">
        <f>IFERROR(__xludf.DUMMYFUNCTION("""COMPUTED_VALUE"""),"M")</f>
        <v>M</v>
      </c>
      <c r="F35" s="1" t="str">
        <f>IFERROR(__xludf.DUMMYFUNCTION("""COMPUTED_VALUE"""),"No, not Hispanic or Latino")</f>
        <v>No, not Hispanic or Latino</v>
      </c>
      <c r="G35" s="1" t="str">
        <f>IFERROR(__xludf.DUMMYFUNCTION("""COMPUTED_VALUE"""),"Black or African American")</f>
        <v>Black or African American</v>
      </c>
      <c r="H35" s="2">
        <f>IFERROR(__xludf.DUMMYFUNCTION("""COMPUTED_VALUE"""),1014.0)</f>
        <v>1014</v>
      </c>
      <c r="I35" s="1" t="str">
        <f>IFERROR(__xludf.DUMMYFUNCTION("""COMPUTED_VALUE"""),"001205")</f>
        <v>001205</v>
      </c>
      <c r="J35" s="3">
        <f>IFERROR(__xludf.DUMMYFUNCTION("""COMPUTED_VALUE"""),44792.0)</f>
        <v>44792</v>
      </c>
    </row>
    <row r="36">
      <c r="A36" s="1" t="str">
        <f>IFERROR(__xludf.DUMMYFUNCTION("""COMPUTED_VALUE"""),"6097545808")</f>
        <v>6097545808</v>
      </c>
      <c r="B36" s="1" t="str">
        <f>IFERROR(__xludf.DUMMYFUNCTION("""COMPUTED_VALUE"""),"Baker")</f>
        <v>Baker</v>
      </c>
      <c r="C36" s="1" t="str">
        <f>IFERROR(__xludf.DUMMYFUNCTION("""COMPUTED_VALUE"""),"Ira")</f>
        <v>Ira</v>
      </c>
      <c r="D36" s="2">
        <f>IFERROR(__xludf.DUMMYFUNCTION("""COMPUTED_VALUE"""),7.0)</f>
        <v>7</v>
      </c>
      <c r="E36" s="1" t="str">
        <f>IFERROR(__xludf.DUMMYFUNCTION("""COMPUTED_VALUE"""),"M")</f>
        <v>M</v>
      </c>
      <c r="F36" s="1" t="str">
        <f>IFERROR(__xludf.DUMMYFUNCTION("""COMPUTED_VALUE"""),"No, not Hispanic or Latino")</f>
        <v>No, not Hispanic or Latino</v>
      </c>
      <c r="G36" s="1" t="str">
        <f>IFERROR(__xludf.DUMMYFUNCTION("""COMPUTED_VALUE"""),"White")</f>
        <v>White</v>
      </c>
      <c r="H36" s="2">
        <f>IFERROR(__xludf.DUMMYFUNCTION("""COMPUTED_VALUE"""),1014.0)</f>
        <v>1014</v>
      </c>
      <c r="I36" s="1" t="str">
        <f>IFERROR(__xludf.DUMMYFUNCTION("""COMPUTED_VALUE"""),"001205")</f>
        <v>001205</v>
      </c>
      <c r="J36" s="3">
        <f>IFERROR(__xludf.DUMMYFUNCTION("""COMPUTED_VALUE"""),44792.0)</f>
        <v>44792</v>
      </c>
    </row>
    <row r="37">
      <c r="A37" s="1" t="str">
        <f>IFERROR(__xludf.DUMMYFUNCTION("""COMPUTED_VALUE"""),"2014997905")</f>
        <v>2014997905</v>
      </c>
      <c r="B37" s="1" t="str">
        <f>IFERROR(__xludf.DUMMYFUNCTION("""COMPUTED_VALUE"""),"Chew")</f>
        <v>Chew</v>
      </c>
      <c r="C37" s="1" t="str">
        <f>IFERROR(__xludf.DUMMYFUNCTION("""COMPUTED_VALUE"""),"Samantha")</f>
        <v>Samantha</v>
      </c>
      <c r="D37" s="2">
        <f>IFERROR(__xludf.DUMMYFUNCTION("""COMPUTED_VALUE"""),8.0)</f>
        <v>8</v>
      </c>
      <c r="E37" s="1" t="str">
        <f>IFERROR(__xludf.DUMMYFUNCTION("""COMPUTED_VALUE"""),"F")</f>
        <v>F</v>
      </c>
      <c r="F37" s="1" t="str">
        <f>IFERROR(__xludf.DUMMYFUNCTION("""COMPUTED_VALUE"""),"No, not Hispanic or Latino")</f>
        <v>No, not Hispanic or Latino</v>
      </c>
      <c r="G37" s="1" t="str">
        <f>IFERROR(__xludf.DUMMYFUNCTION("""COMPUTED_VALUE"""),"Chinese")</f>
        <v>Chinese</v>
      </c>
      <c r="H37" s="2">
        <f>IFERROR(__xludf.DUMMYFUNCTION("""COMPUTED_VALUE"""),1014.0)</f>
        <v>1014</v>
      </c>
      <c r="I37" s="1" t="str">
        <f>IFERROR(__xludf.DUMMYFUNCTION("""COMPUTED_VALUE"""),"001205")</f>
        <v>001205</v>
      </c>
      <c r="J37" s="3">
        <f>IFERROR(__xludf.DUMMYFUNCTION("""COMPUTED_VALUE"""),44792.0)</f>
        <v>44792</v>
      </c>
    </row>
    <row r="38">
      <c r="A38" s="1" t="str">
        <f>IFERROR(__xludf.DUMMYFUNCTION("""COMPUTED_VALUE"""),"2731253005")</f>
        <v>2731253005</v>
      </c>
      <c r="B38" s="1" t="str">
        <f>IFERROR(__xludf.DUMMYFUNCTION("""COMPUTED_VALUE"""),"Clyne")</f>
        <v>Clyne</v>
      </c>
      <c r="C38" s="1" t="str">
        <f>IFERROR(__xludf.DUMMYFUNCTION("""COMPUTED_VALUE"""),"Francis")</f>
        <v>Francis</v>
      </c>
      <c r="D38" s="2">
        <f>IFERROR(__xludf.DUMMYFUNCTION("""COMPUTED_VALUE"""),7.0)</f>
        <v>7</v>
      </c>
      <c r="E38" s="1" t="str">
        <f>IFERROR(__xludf.DUMMYFUNCTION("""COMPUTED_VALUE"""),"M")</f>
        <v>M</v>
      </c>
      <c r="F38" s="1" t="str">
        <f>IFERROR(__xludf.DUMMYFUNCTION("""COMPUTED_VALUE"""),"No, not Hispanic or Latino")</f>
        <v>No, not Hispanic or Latino</v>
      </c>
      <c r="G38" s="1" t="str">
        <f>IFERROR(__xludf.DUMMYFUNCTION("""COMPUTED_VALUE"""),"White")</f>
        <v>White</v>
      </c>
      <c r="H38" s="2">
        <f>IFERROR(__xludf.DUMMYFUNCTION("""COMPUTED_VALUE"""),1014.0)</f>
        <v>1014</v>
      </c>
      <c r="I38" s="1" t="str">
        <f>IFERROR(__xludf.DUMMYFUNCTION("""COMPUTED_VALUE"""),"001205")</f>
        <v>001205</v>
      </c>
      <c r="J38" s="3">
        <f>IFERROR(__xludf.DUMMYFUNCTION("""COMPUTED_VALUE"""),44792.0)</f>
        <v>44792</v>
      </c>
    </row>
    <row r="39">
      <c r="A39" s="1" t="str">
        <f>IFERROR(__xludf.DUMMYFUNCTION("""COMPUTED_VALUE"""),"7706211502")</f>
        <v>7706211502</v>
      </c>
      <c r="B39" s="1" t="str">
        <f>IFERROR(__xludf.DUMMYFUNCTION("""COMPUTED_VALUE"""),"De Frenza")</f>
        <v>De Frenza</v>
      </c>
      <c r="C39" s="1" t="str">
        <f>IFERROR(__xludf.DUMMYFUNCTION("""COMPUTED_VALUE"""),"Adriano")</f>
        <v>Adriano</v>
      </c>
      <c r="D39" s="2">
        <f>IFERROR(__xludf.DUMMYFUNCTION("""COMPUTED_VALUE"""),8.0)</f>
        <v>8</v>
      </c>
      <c r="E39" s="1" t="str">
        <f>IFERROR(__xludf.DUMMYFUNCTION("""COMPUTED_VALUE"""),"M")</f>
        <v>M</v>
      </c>
      <c r="F39" s="1" t="str">
        <f>IFERROR(__xludf.DUMMYFUNCTION("""COMPUTED_VALUE"""),"No, not Hispanic or Latino")</f>
        <v>No, not Hispanic or Latino</v>
      </c>
      <c r="G39" s="1" t="str">
        <f>IFERROR(__xludf.DUMMYFUNCTION("""COMPUTED_VALUE"""),"White")</f>
        <v>White</v>
      </c>
      <c r="H39" s="2">
        <f>IFERROR(__xludf.DUMMYFUNCTION("""COMPUTED_VALUE"""),1014.0)</f>
        <v>1014</v>
      </c>
      <c r="I39" s="1" t="str">
        <f>IFERROR(__xludf.DUMMYFUNCTION("""COMPUTED_VALUE"""),"001205")</f>
        <v>001205</v>
      </c>
      <c r="J39" s="3">
        <f>IFERROR(__xludf.DUMMYFUNCTION("""COMPUTED_VALUE"""),44792.0)</f>
        <v>44792</v>
      </c>
    </row>
    <row r="40">
      <c r="A40" s="1" t="str">
        <f>IFERROR(__xludf.DUMMYFUNCTION("""COMPUTED_VALUE"""),"5330217960")</f>
        <v>5330217960</v>
      </c>
      <c r="B40" s="1" t="str">
        <f>IFERROR(__xludf.DUMMYFUNCTION("""COMPUTED_VALUE"""),"Donaldson")</f>
        <v>Donaldson</v>
      </c>
      <c r="C40" s="1" t="str">
        <f>IFERROR(__xludf.DUMMYFUNCTION("""COMPUTED_VALUE"""),"Hendrix")</f>
        <v>Hendrix</v>
      </c>
      <c r="D40" s="2">
        <f>IFERROR(__xludf.DUMMYFUNCTION("""COMPUTED_VALUE"""),8.0)</f>
        <v>8</v>
      </c>
      <c r="E40" s="1" t="str">
        <f>IFERROR(__xludf.DUMMYFUNCTION("""COMPUTED_VALUE"""),"F")</f>
        <v>F</v>
      </c>
      <c r="F40" s="1" t="str">
        <f>IFERROR(__xludf.DUMMYFUNCTION("""COMPUTED_VALUE"""),"No, not Hispanic or Latino")</f>
        <v>No, not Hispanic or Latino</v>
      </c>
      <c r="G40" s="1" t="str">
        <f>IFERROR(__xludf.DUMMYFUNCTION("""COMPUTED_VALUE"""),"White")</f>
        <v>White</v>
      </c>
      <c r="H40" s="2">
        <f>IFERROR(__xludf.DUMMYFUNCTION("""COMPUTED_VALUE"""),1014.0)</f>
        <v>1014</v>
      </c>
      <c r="I40" s="1" t="str">
        <f>IFERROR(__xludf.DUMMYFUNCTION("""COMPUTED_VALUE"""),"001205")</f>
        <v>001205</v>
      </c>
      <c r="J40" s="3">
        <f>IFERROR(__xludf.DUMMYFUNCTION("""COMPUTED_VALUE"""),44792.0)</f>
        <v>44792</v>
      </c>
    </row>
    <row r="41">
      <c r="A41" s="1" t="str">
        <f>IFERROR(__xludf.DUMMYFUNCTION("""COMPUTED_VALUE"""),"4601071383")</f>
        <v>4601071383</v>
      </c>
      <c r="B41" s="1" t="str">
        <f>IFERROR(__xludf.DUMMYFUNCTION("""COMPUTED_VALUE"""),"Garroway Myers")</f>
        <v>Garroway Myers</v>
      </c>
      <c r="C41" s="1" t="str">
        <f>IFERROR(__xludf.DUMMYFUNCTION("""COMPUTED_VALUE"""),"Ella")</f>
        <v>Ella</v>
      </c>
      <c r="D41" s="2">
        <f>IFERROR(__xludf.DUMMYFUNCTION("""COMPUTED_VALUE"""),7.0)</f>
        <v>7</v>
      </c>
      <c r="E41" s="1" t="str">
        <f>IFERROR(__xludf.DUMMYFUNCTION("""COMPUTED_VALUE"""),"F")</f>
        <v>F</v>
      </c>
      <c r="F41" s="1" t="str">
        <f>IFERROR(__xludf.DUMMYFUNCTION("""COMPUTED_VALUE"""),"No, not Hispanic or Latino")</f>
        <v>No, not Hispanic or Latino</v>
      </c>
      <c r="G41" s="1" t="str">
        <f>IFERROR(__xludf.DUMMYFUNCTION("""COMPUTED_VALUE"""),"White")</f>
        <v>White</v>
      </c>
      <c r="H41" s="2">
        <f>IFERROR(__xludf.DUMMYFUNCTION("""COMPUTED_VALUE"""),1014.0)</f>
        <v>1014</v>
      </c>
      <c r="I41" s="1" t="str">
        <f>IFERROR(__xludf.DUMMYFUNCTION("""COMPUTED_VALUE"""),"001205")</f>
        <v>001205</v>
      </c>
      <c r="J41" s="3">
        <f>IFERROR(__xludf.DUMMYFUNCTION("""COMPUTED_VALUE"""),44792.0)</f>
        <v>44792</v>
      </c>
    </row>
    <row r="42">
      <c r="A42" s="1" t="str">
        <f>IFERROR(__xludf.DUMMYFUNCTION("""COMPUTED_VALUE"""),"7604784843")</f>
        <v>7604784843</v>
      </c>
      <c r="B42" s="1" t="str">
        <f>IFERROR(__xludf.DUMMYFUNCTION("""COMPUTED_VALUE"""),"Gernhardt")</f>
        <v>Gernhardt</v>
      </c>
      <c r="C42" s="1" t="str">
        <f>IFERROR(__xludf.DUMMYFUNCTION("""COMPUTED_VALUE"""),"Ella")</f>
        <v>Ella</v>
      </c>
      <c r="D42" s="2">
        <f>IFERROR(__xludf.DUMMYFUNCTION("""COMPUTED_VALUE"""),8.0)</f>
        <v>8</v>
      </c>
      <c r="E42" s="1" t="str">
        <f>IFERROR(__xludf.DUMMYFUNCTION("""COMPUTED_VALUE"""),"F")</f>
        <v>F</v>
      </c>
      <c r="F42" s="1" t="str">
        <f>IFERROR(__xludf.DUMMYFUNCTION("""COMPUTED_VALUE"""),"No, not Hispanic or Latino")</f>
        <v>No, not Hispanic or Latino</v>
      </c>
      <c r="G42" s="1" t="str">
        <f>IFERROR(__xludf.DUMMYFUNCTION("""COMPUTED_VALUE"""),"White")</f>
        <v>White</v>
      </c>
      <c r="H42" s="2">
        <f>IFERROR(__xludf.DUMMYFUNCTION("""COMPUTED_VALUE"""),1014.0)</f>
        <v>1014</v>
      </c>
      <c r="I42" s="1" t="str">
        <f>IFERROR(__xludf.DUMMYFUNCTION("""COMPUTED_VALUE"""),"001205")</f>
        <v>001205</v>
      </c>
      <c r="J42" s="3">
        <f>IFERROR(__xludf.DUMMYFUNCTION("""COMPUTED_VALUE"""),44792.0)</f>
        <v>44792</v>
      </c>
    </row>
    <row r="43">
      <c r="A43" s="1" t="str">
        <f>IFERROR(__xludf.DUMMYFUNCTION("""COMPUTED_VALUE"""),"4713617485")</f>
        <v>4713617485</v>
      </c>
      <c r="B43" s="1" t="str">
        <f>IFERROR(__xludf.DUMMYFUNCTION("""COMPUTED_VALUE"""),"Harrington")</f>
        <v>Harrington</v>
      </c>
      <c r="C43" s="1" t="str">
        <f>IFERROR(__xludf.DUMMYFUNCTION("""COMPUTED_VALUE"""),"Lilah")</f>
        <v>Lilah</v>
      </c>
      <c r="D43" s="2">
        <f>IFERROR(__xludf.DUMMYFUNCTION("""COMPUTED_VALUE"""),8.0)</f>
        <v>8</v>
      </c>
      <c r="E43" s="1" t="str">
        <f>IFERROR(__xludf.DUMMYFUNCTION("""COMPUTED_VALUE"""),"F")</f>
        <v>F</v>
      </c>
      <c r="F43" s="1" t="str">
        <f>IFERROR(__xludf.DUMMYFUNCTION("""COMPUTED_VALUE"""),"No, not Hispanic or Latino")</f>
        <v>No, not Hispanic or Latino</v>
      </c>
      <c r="G43" s="1" t="str">
        <f>IFERROR(__xludf.DUMMYFUNCTION("""COMPUTED_VALUE"""),"White")</f>
        <v>White</v>
      </c>
      <c r="H43" s="2">
        <f>IFERROR(__xludf.DUMMYFUNCTION("""COMPUTED_VALUE"""),1014.0)</f>
        <v>1014</v>
      </c>
      <c r="I43" s="1" t="str">
        <f>IFERROR(__xludf.DUMMYFUNCTION("""COMPUTED_VALUE"""),"001205")</f>
        <v>001205</v>
      </c>
      <c r="J43" s="3">
        <f>IFERROR(__xludf.DUMMYFUNCTION("""COMPUTED_VALUE"""),44792.0)</f>
        <v>44792</v>
      </c>
    </row>
    <row r="44">
      <c r="A44" s="1" t="str">
        <f>IFERROR(__xludf.DUMMYFUNCTION("""COMPUTED_VALUE"""),"7010769330")</f>
        <v>7010769330</v>
      </c>
      <c r="B44" s="1" t="str">
        <f>IFERROR(__xludf.DUMMYFUNCTION("""COMPUTED_VALUE"""),"Hazelrigg")</f>
        <v>Hazelrigg</v>
      </c>
      <c r="C44" s="1" t="str">
        <f>IFERROR(__xludf.DUMMYFUNCTION("""COMPUTED_VALUE"""),"Tess")</f>
        <v>Tess</v>
      </c>
      <c r="D44" s="2">
        <f>IFERROR(__xludf.DUMMYFUNCTION("""COMPUTED_VALUE"""),8.0)</f>
        <v>8</v>
      </c>
      <c r="E44" s="1" t="str">
        <f>IFERROR(__xludf.DUMMYFUNCTION("""COMPUTED_VALUE"""),"F")</f>
        <v>F</v>
      </c>
      <c r="F44" s="1" t="str">
        <f>IFERROR(__xludf.DUMMYFUNCTION("""COMPUTED_VALUE"""),"No, not Hispanic or Latino")</f>
        <v>No, not Hispanic or Latino</v>
      </c>
      <c r="G44" s="1" t="str">
        <f>IFERROR(__xludf.DUMMYFUNCTION("""COMPUTED_VALUE"""),"White")</f>
        <v>White</v>
      </c>
      <c r="H44" s="2">
        <f>IFERROR(__xludf.DUMMYFUNCTION("""COMPUTED_VALUE"""),1014.0)</f>
        <v>1014</v>
      </c>
      <c r="I44" s="1" t="str">
        <f>IFERROR(__xludf.DUMMYFUNCTION("""COMPUTED_VALUE"""),"001205")</f>
        <v>001205</v>
      </c>
      <c r="J44" s="3">
        <f>IFERROR(__xludf.DUMMYFUNCTION("""COMPUTED_VALUE"""),44792.0)</f>
        <v>44792</v>
      </c>
    </row>
    <row r="45">
      <c r="A45" s="1" t="str">
        <f>IFERROR(__xludf.DUMMYFUNCTION("""COMPUTED_VALUE"""),"9560926530")</f>
        <v>9560926530</v>
      </c>
      <c r="B45" s="1" t="str">
        <f>IFERROR(__xludf.DUMMYFUNCTION("""COMPUTED_VALUE"""),"Hernandez")</f>
        <v>Hernandez</v>
      </c>
      <c r="C45" s="1" t="str">
        <f>IFERROR(__xludf.DUMMYFUNCTION("""COMPUTED_VALUE"""),"Samuel")</f>
        <v>Samuel</v>
      </c>
      <c r="D45" s="2">
        <f>IFERROR(__xludf.DUMMYFUNCTION("""COMPUTED_VALUE"""),8.0)</f>
        <v>8</v>
      </c>
      <c r="E45" s="1" t="str">
        <f>IFERROR(__xludf.DUMMYFUNCTION("""COMPUTED_VALUE"""),"M")</f>
        <v>M</v>
      </c>
      <c r="F45" s="1" t="str">
        <f>IFERROR(__xludf.DUMMYFUNCTION("""COMPUTED_VALUE"""),"Yes, Hispanic or Latino")</f>
        <v>Yes, Hispanic or Latino</v>
      </c>
      <c r="G45" s="1" t="str">
        <f>IFERROR(__xludf.DUMMYFUNCTION("""COMPUTED_VALUE"""),"White")</f>
        <v>White</v>
      </c>
      <c r="H45" s="2">
        <f>IFERROR(__xludf.DUMMYFUNCTION("""COMPUTED_VALUE"""),1014.0)</f>
        <v>1014</v>
      </c>
      <c r="I45" s="1" t="str">
        <f>IFERROR(__xludf.DUMMYFUNCTION("""COMPUTED_VALUE"""),"001205")</f>
        <v>001205</v>
      </c>
      <c r="J45" s="3">
        <f>IFERROR(__xludf.DUMMYFUNCTION("""COMPUTED_VALUE"""),44792.0)</f>
        <v>44792</v>
      </c>
    </row>
    <row r="46">
      <c r="A46" s="1" t="str">
        <f>IFERROR(__xludf.DUMMYFUNCTION("""COMPUTED_VALUE"""),"1720010518")</f>
        <v>1720010518</v>
      </c>
      <c r="B46" s="1" t="str">
        <f>IFERROR(__xludf.DUMMYFUNCTION("""COMPUTED_VALUE"""),"Lee")</f>
        <v>Lee</v>
      </c>
      <c r="C46" s="1" t="str">
        <f>IFERROR(__xludf.DUMMYFUNCTION("""COMPUTED_VALUE"""),"Allegra")</f>
        <v>Allegra</v>
      </c>
      <c r="D46" s="2">
        <f>IFERROR(__xludf.DUMMYFUNCTION("""COMPUTED_VALUE"""),8.0)</f>
        <v>8</v>
      </c>
      <c r="E46" s="1" t="str">
        <f>IFERROR(__xludf.DUMMYFUNCTION("""COMPUTED_VALUE"""),"F")</f>
        <v>F</v>
      </c>
      <c r="F46" s="1" t="str">
        <f>IFERROR(__xludf.DUMMYFUNCTION("""COMPUTED_VALUE"""),"No, not Hispanic or Latino")</f>
        <v>No, not Hispanic or Latino</v>
      </c>
      <c r="G46" s="1" t="str">
        <f>IFERROR(__xludf.DUMMYFUNCTION("""COMPUTED_VALUE"""),"Korean")</f>
        <v>Korean</v>
      </c>
      <c r="H46" s="2">
        <f>IFERROR(__xludf.DUMMYFUNCTION("""COMPUTED_VALUE"""),1014.0)</f>
        <v>1014</v>
      </c>
      <c r="I46" s="1" t="str">
        <f>IFERROR(__xludf.DUMMYFUNCTION("""COMPUTED_VALUE"""),"001205")</f>
        <v>001205</v>
      </c>
      <c r="J46" s="3">
        <f>IFERROR(__xludf.DUMMYFUNCTION("""COMPUTED_VALUE"""),44792.0)</f>
        <v>44792</v>
      </c>
    </row>
    <row r="47">
      <c r="A47" s="1" t="str">
        <f>IFERROR(__xludf.DUMMYFUNCTION("""COMPUTED_VALUE"""),"6613422467")</f>
        <v>6613422467</v>
      </c>
      <c r="B47" s="1" t="str">
        <f>IFERROR(__xludf.DUMMYFUNCTION("""COMPUTED_VALUE"""),"Lourdu Francis Xavier")</f>
        <v>Lourdu Francis Xavier</v>
      </c>
      <c r="C47" s="1" t="str">
        <f>IFERROR(__xludf.DUMMYFUNCTION("""COMPUTED_VALUE"""),"Divya")</f>
        <v>Divya</v>
      </c>
      <c r="D47" s="2">
        <f>IFERROR(__xludf.DUMMYFUNCTION("""COMPUTED_VALUE"""),8.0)</f>
        <v>8</v>
      </c>
      <c r="E47" s="1" t="str">
        <f>IFERROR(__xludf.DUMMYFUNCTION("""COMPUTED_VALUE"""),"F")</f>
        <v>F</v>
      </c>
      <c r="F47" s="1" t="str">
        <f>IFERROR(__xludf.DUMMYFUNCTION("""COMPUTED_VALUE"""),"No, not Hispanic or Latino")</f>
        <v>No, not Hispanic or Latino</v>
      </c>
      <c r="G47" s="1" t="str">
        <f>IFERROR(__xludf.DUMMYFUNCTION("""COMPUTED_VALUE"""),"Asian Indian")</f>
        <v>Asian Indian</v>
      </c>
      <c r="H47" s="2">
        <f>IFERROR(__xludf.DUMMYFUNCTION("""COMPUTED_VALUE"""),1014.0)</f>
        <v>1014</v>
      </c>
      <c r="I47" s="1" t="str">
        <f>IFERROR(__xludf.DUMMYFUNCTION("""COMPUTED_VALUE"""),"001205")</f>
        <v>001205</v>
      </c>
      <c r="J47" s="3">
        <f>IFERROR(__xludf.DUMMYFUNCTION("""COMPUTED_VALUE"""),44792.0)</f>
        <v>44792</v>
      </c>
    </row>
    <row r="48">
      <c r="A48" s="1" t="str">
        <f>IFERROR(__xludf.DUMMYFUNCTION("""COMPUTED_VALUE"""),"8946566425")</f>
        <v>8946566425</v>
      </c>
      <c r="B48" s="1" t="str">
        <f>IFERROR(__xludf.DUMMYFUNCTION("""COMPUTED_VALUE"""),"Ludin")</f>
        <v>Ludin</v>
      </c>
      <c r="C48" s="1" t="str">
        <f>IFERROR(__xludf.DUMMYFUNCTION("""COMPUTED_VALUE"""),"Charlotte")</f>
        <v>Charlotte</v>
      </c>
      <c r="D48" s="2">
        <f>IFERROR(__xludf.DUMMYFUNCTION("""COMPUTED_VALUE"""),7.0)</f>
        <v>7</v>
      </c>
      <c r="E48" s="1" t="str">
        <f>IFERROR(__xludf.DUMMYFUNCTION("""COMPUTED_VALUE"""),"F")</f>
        <v>F</v>
      </c>
      <c r="F48" s="1" t="str">
        <f>IFERROR(__xludf.DUMMYFUNCTION("""COMPUTED_VALUE"""),"No, not Hispanic or Latino")</f>
        <v>No, not Hispanic or Latino</v>
      </c>
      <c r="G48" s="1" t="str">
        <f>IFERROR(__xludf.DUMMYFUNCTION("""COMPUTED_VALUE"""),"White")</f>
        <v>White</v>
      </c>
      <c r="H48" s="2">
        <f>IFERROR(__xludf.DUMMYFUNCTION("""COMPUTED_VALUE"""),1014.0)</f>
        <v>1014</v>
      </c>
      <c r="I48" s="1" t="str">
        <f>IFERROR(__xludf.DUMMYFUNCTION("""COMPUTED_VALUE"""),"001205")</f>
        <v>001205</v>
      </c>
      <c r="J48" s="3">
        <f>IFERROR(__xludf.DUMMYFUNCTION("""COMPUTED_VALUE"""),44792.0)</f>
        <v>44792</v>
      </c>
    </row>
    <row r="49">
      <c r="A49" s="1" t="str">
        <f>IFERROR(__xludf.DUMMYFUNCTION("""COMPUTED_VALUE"""),"4669372146")</f>
        <v>4669372146</v>
      </c>
      <c r="B49" s="1" t="str">
        <f>IFERROR(__xludf.DUMMYFUNCTION("""COMPUTED_VALUE"""),"McCoy")</f>
        <v>McCoy</v>
      </c>
      <c r="C49" s="1" t="str">
        <f>IFERROR(__xludf.DUMMYFUNCTION("""COMPUTED_VALUE"""),"Amelia")</f>
        <v>Amelia</v>
      </c>
      <c r="D49" s="2">
        <f>IFERROR(__xludf.DUMMYFUNCTION("""COMPUTED_VALUE"""),8.0)</f>
        <v>8</v>
      </c>
      <c r="E49" s="1" t="str">
        <f>IFERROR(__xludf.DUMMYFUNCTION("""COMPUTED_VALUE"""),"F")</f>
        <v>F</v>
      </c>
      <c r="F49" s="1" t="str">
        <f>IFERROR(__xludf.DUMMYFUNCTION("""COMPUTED_VALUE"""),"No, not Hispanic or Latino")</f>
        <v>No, not Hispanic or Latino</v>
      </c>
      <c r="G49" s="1" t="str">
        <f>IFERROR(__xludf.DUMMYFUNCTION("""COMPUTED_VALUE"""),"White")</f>
        <v>White</v>
      </c>
      <c r="H49" s="2">
        <f>IFERROR(__xludf.DUMMYFUNCTION("""COMPUTED_VALUE"""),1014.0)</f>
        <v>1014</v>
      </c>
      <c r="I49" s="1" t="str">
        <f>IFERROR(__xludf.DUMMYFUNCTION("""COMPUTED_VALUE"""),"001205")</f>
        <v>001205</v>
      </c>
      <c r="J49" s="3">
        <f>IFERROR(__xludf.DUMMYFUNCTION("""COMPUTED_VALUE"""),44792.0)</f>
        <v>44792</v>
      </c>
    </row>
    <row r="50">
      <c r="A50" s="1" t="str">
        <f>IFERROR(__xludf.DUMMYFUNCTION("""COMPUTED_VALUE"""),"7346873316")</f>
        <v>7346873316</v>
      </c>
      <c r="B50" s="1" t="str">
        <f>IFERROR(__xludf.DUMMYFUNCTION("""COMPUTED_VALUE"""),"McDermott")</f>
        <v>McDermott</v>
      </c>
      <c r="C50" s="1" t="str">
        <f>IFERROR(__xludf.DUMMYFUNCTION("""COMPUTED_VALUE"""),"Liam")</f>
        <v>Liam</v>
      </c>
      <c r="D50" s="2">
        <f>IFERROR(__xludf.DUMMYFUNCTION("""COMPUTED_VALUE"""),8.0)</f>
        <v>8</v>
      </c>
      <c r="E50" s="1" t="str">
        <f>IFERROR(__xludf.DUMMYFUNCTION("""COMPUTED_VALUE"""),"M")</f>
        <v>M</v>
      </c>
      <c r="F50" s="1" t="str">
        <f>IFERROR(__xludf.DUMMYFUNCTION("""COMPUTED_VALUE"""),"No, not Hispanic or Latino")</f>
        <v>No, not Hispanic or Latino</v>
      </c>
      <c r="G50" s="1" t="str">
        <f>IFERROR(__xludf.DUMMYFUNCTION("""COMPUTED_VALUE"""),"White")</f>
        <v>White</v>
      </c>
      <c r="H50" s="2">
        <f>IFERROR(__xludf.DUMMYFUNCTION("""COMPUTED_VALUE"""),1014.0)</f>
        <v>1014</v>
      </c>
      <c r="I50" s="1" t="str">
        <f>IFERROR(__xludf.DUMMYFUNCTION("""COMPUTED_VALUE"""),"001205")</f>
        <v>001205</v>
      </c>
      <c r="J50" s="3">
        <f>IFERROR(__xludf.DUMMYFUNCTION("""COMPUTED_VALUE"""),44792.0)</f>
        <v>44792</v>
      </c>
    </row>
    <row r="51">
      <c r="A51" s="1" t="str">
        <f>IFERROR(__xludf.DUMMYFUNCTION("""COMPUTED_VALUE"""),"7292326140")</f>
        <v>7292326140</v>
      </c>
      <c r="B51" s="1" t="str">
        <f>IFERROR(__xludf.DUMMYFUNCTION("""COMPUTED_VALUE"""),"Mokelke")</f>
        <v>Mokelke</v>
      </c>
      <c r="C51" s="1" t="str">
        <f>IFERROR(__xludf.DUMMYFUNCTION("""COMPUTED_VALUE"""),"Camille")</f>
        <v>Camille</v>
      </c>
      <c r="D51" s="2">
        <f>IFERROR(__xludf.DUMMYFUNCTION("""COMPUTED_VALUE"""),7.0)</f>
        <v>7</v>
      </c>
      <c r="E51" s="1" t="str">
        <f>IFERROR(__xludf.DUMMYFUNCTION("""COMPUTED_VALUE"""),"F")</f>
        <v>F</v>
      </c>
      <c r="F51" s="1" t="str">
        <f>IFERROR(__xludf.DUMMYFUNCTION("""COMPUTED_VALUE"""),"No, not Hispanic or Latino")</f>
        <v>No, not Hispanic or Latino</v>
      </c>
      <c r="G51" s="1" t="str">
        <f>IFERROR(__xludf.DUMMYFUNCTION("""COMPUTED_VALUE"""),"White")</f>
        <v>White</v>
      </c>
      <c r="H51" s="2">
        <f>IFERROR(__xludf.DUMMYFUNCTION("""COMPUTED_VALUE"""),1014.0)</f>
        <v>1014</v>
      </c>
      <c r="I51" s="1" t="str">
        <f>IFERROR(__xludf.DUMMYFUNCTION("""COMPUTED_VALUE"""),"001205")</f>
        <v>001205</v>
      </c>
      <c r="J51" s="3">
        <f>IFERROR(__xludf.DUMMYFUNCTION("""COMPUTED_VALUE"""),44792.0)</f>
        <v>44792</v>
      </c>
    </row>
    <row r="52">
      <c r="A52" s="1" t="str">
        <f>IFERROR(__xludf.DUMMYFUNCTION("""COMPUTED_VALUE"""),"1146577836")</f>
        <v>1146577836</v>
      </c>
      <c r="B52" s="1" t="str">
        <f>IFERROR(__xludf.DUMMYFUNCTION("""COMPUTED_VALUE"""),"Ngo")</f>
        <v>Ngo</v>
      </c>
      <c r="C52" s="1" t="str">
        <f>IFERROR(__xludf.DUMMYFUNCTION("""COMPUTED_VALUE"""),"Elizabeth")</f>
        <v>Elizabeth</v>
      </c>
      <c r="D52" s="2">
        <f>IFERROR(__xludf.DUMMYFUNCTION("""COMPUTED_VALUE"""),8.0)</f>
        <v>8</v>
      </c>
      <c r="E52" s="1" t="str">
        <f>IFERROR(__xludf.DUMMYFUNCTION("""COMPUTED_VALUE"""),"F")</f>
        <v>F</v>
      </c>
      <c r="F52" s="1" t="str">
        <f>IFERROR(__xludf.DUMMYFUNCTION("""COMPUTED_VALUE"""),"No, not Hispanic or Latino")</f>
        <v>No, not Hispanic or Latino</v>
      </c>
      <c r="G52" s="1" t="str">
        <f>IFERROR(__xludf.DUMMYFUNCTION("""COMPUTED_VALUE"""),"Chinese")</f>
        <v>Chinese</v>
      </c>
      <c r="H52" s="2">
        <f>IFERROR(__xludf.DUMMYFUNCTION("""COMPUTED_VALUE"""),1014.0)</f>
        <v>1014</v>
      </c>
      <c r="I52" s="1" t="str">
        <f>IFERROR(__xludf.DUMMYFUNCTION("""COMPUTED_VALUE"""),"001205")</f>
        <v>001205</v>
      </c>
      <c r="J52" s="3">
        <f>IFERROR(__xludf.DUMMYFUNCTION("""COMPUTED_VALUE"""),44792.0)</f>
        <v>44792</v>
      </c>
    </row>
    <row r="53">
      <c r="A53" s="1" t="str">
        <f>IFERROR(__xludf.DUMMYFUNCTION("""COMPUTED_VALUE"""),"4907274085")</f>
        <v>4907274085</v>
      </c>
      <c r="B53" s="1" t="str">
        <f>IFERROR(__xludf.DUMMYFUNCTION("""COMPUTED_VALUE"""),"Noyes")</f>
        <v>Noyes</v>
      </c>
      <c r="C53" s="1" t="str">
        <f>IFERROR(__xludf.DUMMYFUNCTION("""COMPUTED_VALUE"""),"Evelyn")</f>
        <v>Evelyn</v>
      </c>
      <c r="D53" s="2">
        <f>IFERROR(__xludf.DUMMYFUNCTION("""COMPUTED_VALUE"""),8.0)</f>
        <v>8</v>
      </c>
      <c r="E53" s="1" t="str">
        <f>IFERROR(__xludf.DUMMYFUNCTION("""COMPUTED_VALUE"""),"F")</f>
        <v>F</v>
      </c>
      <c r="F53" s="1" t="str">
        <f>IFERROR(__xludf.DUMMYFUNCTION("""COMPUTED_VALUE"""),"No, not Hispanic or Latino")</f>
        <v>No, not Hispanic or Latino</v>
      </c>
      <c r="G53" s="1" t="str">
        <f>IFERROR(__xludf.DUMMYFUNCTION("""COMPUTED_VALUE"""),"White")</f>
        <v>White</v>
      </c>
      <c r="H53" s="2">
        <f>IFERROR(__xludf.DUMMYFUNCTION("""COMPUTED_VALUE"""),1014.0)</f>
        <v>1014</v>
      </c>
      <c r="I53" s="1" t="str">
        <f>IFERROR(__xludf.DUMMYFUNCTION("""COMPUTED_VALUE"""),"001205")</f>
        <v>001205</v>
      </c>
      <c r="J53" s="3">
        <f>IFERROR(__xludf.DUMMYFUNCTION("""COMPUTED_VALUE"""),44792.0)</f>
        <v>44792</v>
      </c>
    </row>
    <row r="54">
      <c r="A54" s="1" t="str">
        <f>IFERROR(__xludf.DUMMYFUNCTION("""COMPUTED_VALUE"""),"6229498937")</f>
        <v>6229498937</v>
      </c>
      <c r="B54" s="1" t="str">
        <f>IFERROR(__xludf.DUMMYFUNCTION("""COMPUTED_VALUE"""),"Pastor")</f>
        <v>Pastor</v>
      </c>
      <c r="C54" s="1" t="str">
        <f>IFERROR(__xludf.DUMMYFUNCTION("""COMPUTED_VALUE"""),"Mila")</f>
        <v>Mila</v>
      </c>
      <c r="D54" s="2">
        <f>IFERROR(__xludf.DUMMYFUNCTION("""COMPUTED_VALUE"""),8.0)</f>
        <v>8</v>
      </c>
      <c r="E54" s="1" t="str">
        <f>IFERROR(__xludf.DUMMYFUNCTION("""COMPUTED_VALUE"""),"F")</f>
        <v>F</v>
      </c>
      <c r="F54" s="1" t="str">
        <f>IFERROR(__xludf.DUMMYFUNCTION("""COMPUTED_VALUE"""),"Yes, Hispanic or Latino")</f>
        <v>Yes, Hispanic or Latino</v>
      </c>
      <c r="G54" s="1" t="str">
        <f>IFERROR(__xludf.DUMMYFUNCTION("""COMPUTED_VALUE"""),"White")</f>
        <v>White</v>
      </c>
      <c r="H54" s="2">
        <f>IFERROR(__xludf.DUMMYFUNCTION("""COMPUTED_VALUE"""),1014.0)</f>
        <v>1014</v>
      </c>
      <c r="I54" s="1" t="str">
        <f>IFERROR(__xludf.DUMMYFUNCTION("""COMPUTED_VALUE"""),"001205")</f>
        <v>001205</v>
      </c>
      <c r="J54" s="3">
        <f>IFERROR(__xludf.DUMMYFUNCTION("""COMPUTED_VALUE"""),44792.0)</f>
        <v>44792</v>
      </c>
    </row>
    <row r="55">
      <c r="A55" s="1" t="str">
        <f>IFERROR(__xludf.DUMMYFUNCTION("""COMPUTED_VALUE"""),"6012825186")</f>
        <v>6012825186</v>
      </c>
      <c r="B55" s="1" t="str">
        <f>IFERROR(__xludf.DUMMYFUNCTION("""COMPUTED_VALUE"""),"Primer")</f>
        <v>Primer</v>
      </c>
      <c r="C55" s="1" t="str">
        <f>IFERROR(__xludf.DUMMYFUNCTION("""COMPUTED_VALUE"""),"Talia")</f>
        <v>Talia</v>
      </c>
      <c r="D55" s="2">
        <f>IFERROR(__xludf.DUMMYFUNCTION("""COMPUTED_VALUE"""),8.0)</f>
        <v>8</v>
      </c>
      <c r="E55" s="1" t="str">
        <f>IFERROR(__xludf.DUMMYFUNCTION("""COMPUTED_VALUE"""),"F")</f>
        <v>F</v>
      </c>
      <c r="F55" s="1" t="str">
        <f>IFERROR(__xludf.DUMMYFUNCTION("""COMPUTED_VALUE"""),"No, not Hispanic or Latino")</f>
        <v>No, not Hispanic or Latino</v>
      </c>
      <c r="G55" s="1" t="str">
        <f>IFERROR(__xludf.DUMMYFUNCTION("""COMPUTED_VALUE"""),"Chinese")</f>
        <v>Chinese</v>
      </c>
      <c r="H55" s="2">
        <f>IFERROR(__xludf.DUMMYFUNCTION("""COMPUTED_VALUE"""),1014.0)</f>
        <v>1014</v>
      </c>
      <c r="I55" s="1" t="str">
        <f>IFERROR(__xludf.DUMMYFUNCTION("""COMPUTED_VALUE"""),"001205")</f>
        <v>001205</v>
      </c>
      <c r="J55" s="3">
        <f>IFERROR(__xludf.DUMMYFUNCTION("""COMPUTED_VALUE"""),44792.0)</f>
        <v>44792</v>
      </c>
    </row>
    <row r="56">
      <c r="A56" s="1" t="str">
        <f>IFERROR(__xludf.DUMMYFUNCTION("""COMPUTED_VALUE"""),"8912760783")</f>
        <v>8912760783</v>
      </c>
      <c r="B56" s="1" t="str">
        <f>IFERROR(__xludf.DUMMYFUNCTION("""COMPUTED_VALUE"""),"Pringle")</f>
        <v>Pringle</v>
      </c>
      <c r="C56" s="1" t="str">
        <f>IFERROR(__xludf.DUMMYFUNCTION("""COMPUTED_VALUE"""),"George")</f>
        <v>George</v>
      </c>
      <c r="D56" s="2">
        <f>IFERROR(__xludf.DUMMYFUNCTION("""COMPUTED_VALUE"""),8.0)</f>
        <v>8</v>
      </c>
      <c r="E56" s="1" t="str">
        <f>IFERROR(__xludf.DUMMYFUNCTION("""COMPUTED_VALUE"""),"M")</f>
        <v>M</v>
      </c>
      <c r="F56" s="1" t="str">
        <f>IFERROR(__xludf.DUMMYFUNCTION("""COMPUTED_VALUE"""),"No, not Hispanic or Latino")</f>
        <v>No, not Hispanic or Latino</v>
      </c>
      <c r="G56" s="1" t="str">
        <f>IFERROR(__xludf.DUMMYFUNCTION("""COMPUTED_VALUE"""),"White")</f>
        <v>White</v>
      </c>
      <c r="H56" s="2">
        <f>IFERROR(__xludf.DUMMYFUNCTION("""COMPUTED_VALUE"""),1014.0)</f>
        <v>1014</v>
      </c>
      <c r="I56" s="1" t="str">
        <f>IFERROR(__xludf.DUMMYFUNCTION("""COMPUTED_VALUE"""),"001205")</f>
        <v>001205</v>
      </c>
      <c r="J56" s="3">
        <f>IFERROR(__xludf.DUMMYFUNCTION("""COMPUTED_VALUE"""),44792.0)</f>
        <v>44792</v>
      </c>
    </row>
    <row r="57">
      <c r="A57" s="1" t="str">
        <f>IFERROR(__xludf.DUMMYFUNCTION("""COMPUTED_VALUE"""),"9342018562")</f>
        <v>9342018562</v>
      </c>
      <c r="B57" s="1" t="str">
        <f>IFERROR(__xludf.DUMMYFUNCTION("""COMPUTED_VALUE"""),"Rossetti")</f>
        <v>Rossetti</v>
      </c>
      <c r="C57" s="1" t="str">
        <f>IFERROR(__xludf.DUMMYFUNCTION("""COMPUTED_VALUE"""),"Isabelle")</f>
        <v>Isabelle</v>
      </c>
      <c r="D57" s="2">
        <f>IFERROR(__xludf.DUMMYFUNCTION("""COMPUTED_VALUE"""),8.0)</f>
        <v>8</v>
      </c>
      <c r="E57" s="1" t="str">
        <f>IFERROR(__xludf.DUMMYFUNCTION("""COMPUTED_VALUE"""),"F")</f>
        <v>F</v>
      </c>
      <c r="F57" s="1" t="str">
        <f>IFERROR(__xludf.DUMMYFUNCTION("""COMPUTED_VALUE"""),"No, not Hispanic or Latino")</f>
        <v>No, not Hispanic or Latino</v>
      </c>
      <c r="G57" s="1" t="str">
        <f>IFERROR(__xludf.DUMMYFUNCTION("""COMPUTED_VALUE"""),"White")</f>
        <v>White</v>
      </c>
      <c r="H57" s="2">
        <f>IFERROR(__xludf.DUMMYFUNCTION("""COMPUTED_VALUE"""),1014.0)</f>
        <v>1014</v>
      </c>
      <c r="I57" s="1" t="str">
        <f>IFERROR(__xludf.DUMMYFUNCTION("""COMPUTED_VALUE"""),"001205")</f>
        <v>001205</v>
      </c>
      <c r="J57" s="3">
        <f>IFERROR(__xludf.DUMMYFUNCTION("""COMPUTED_VALUE"""),44792.0)</f>
        <v>44792</v>
      </c>
    </row>
    <row r="58">
      <c r="A58" s="1" t="str">
        <f>IFERROR(__xludf.DUMMYFUNCTION("""COMPUTED_VALUE"""),"3203420174")</f>
        <v>3203420174</v>
      </c>
      <c r="B58" s="1" t="str">
        <f>IFERROR(__xludf.DUMMYFUNCTION("""COMPUTED_VALUE"""),"Schafer")</f>
        <v>Schafer</v>
      </c>
      <c r="C58" s="1" t="str">
        <f>IFERROR(__xludf.DUMMYFUNCTION("""COMPUTED_VALUE"""),"Ave")</f>
        <v>Ave</v>
      </c>
      <c r="D58" s="2">
        <f>IFERROR(__xludf.DUMMYFUNCTION("""COMPUTED_VALUE"""),8.0)</f>
        <v>8</v>
      </c>
      <c r="E58" s="1" t="str">
        <f>IFERROR(__xludf.DUMMYFUNCTION("""COMPUTED_VALUE"""),"F")</f>
        <v>F</v>
      </c>
      <c r="F58" s="1" t="str">
        <f>IFERROR(__xludf.DUMMYFUNCTION("""COMPUTED_VALUE"""),"No, not Hispanic or Latino")</f>
        <v>No, not Hispanic or Latino</v>
      </c>
      <c r="G58" s="1" t="str">
        <f>IFERROR(__xludf.DUMMYFUNCTION("""COMPUTED_VALUE"""),"Korean")</f>
        <v>Korean</v>
      </c>
      <c r="H58" s="2">
        <f>IFERROR(__xludf.DUMMYFUNCTION("""COMPUTED_VALUE"""),1014.0)</f>
        <v>1014</v>
      </c>
      <c r="I58" s="1" t="str">
        <f>IFERROR(__xludf.DUMMYFUNCTION("""COMPUTED_VALUE"""),"001205")</f>
        <v>001205</v>
      </c>
      <c r="J58" s="3">
        <f>IFERROR(__xludf.DUMMYFUNCTION("""COMPUTED_VALUE"""),44792.0)</f>
        <v>44792</v>
      </c>
    </row>
    <row r="59">
      <c r="A59" s="1" t="str">
        <f>IFERROR(__xludf.DUMMYFUNCTION("""COMPUTED_VALUE"""),"1614423712")</f>
        <v>1614423712</v>
      </c>
      <c r="B59" s="1" t="str">
        <f>IFERROR(__xludf.DUMMYFUNCTION("""COMPUTED_VALUE"""),"Shoup")</f>
        <v>Shoup</v>
      </c>
      <c r="C59" s="1" t="str">
        <f>IFERROR(__xludf.DUMMYFUNCTION("""COMPUTED_VALUE"""),"Hannah")</f>
        <v>Hannah</v>
      </c>
      <c r="D59" s="2">
        <f>IFERROR(__xludf.DUMMYFUNCTION("""COMPUTED_VALUE"""),8.0)</f>
        <v>8</v>
      </c>
      <c r="E59" s="1" t="str">
        <f>IFERROR(__xludf.DUMMYFUNCTION("""COMPUTED_VALUE"""),"F")</f>
        <v>F</v>
      </c>
      <c r="F59" s="1" t="str">
        <f>IFERROR(__xludf.DUMMYFUNCTION("""COMPUTED_VALUE"""),"No, not Hispanic or Latino")</f>
        <v>No, not Hispanic or Latino</v>
      </c>
      <c r="G59" s="1" t="str">
        <f>IFERROR(__xludf.DUMMYFUNCTION("""COMPUTED_VALUE"""),"White")</f>
        <v>White</v>
      </c>
      <c r="H59" s="2">
        <f>IFERROR(__xludf.DUMMYFUNCTION("""COMPUTED_VALUE"""),1014.0)</f>
        <v>1014</v>
      </c>
      <c r="I59" s="1" t="str">
        <f>IFERROR(__xludf.DUMMYFUNCTION("""COMPUTED_VALUE"""),"001205")</f>
        <v>001205</v>
      </c>
      <c r="J59" s="3">
        <f>IFERROR(__xludf.DUMMYFUNCTION("""COMPUTED_VALUE"""),44792.0)</f>
        <v>44792</v>
      </c>
    </row>
    <row r="60">
      <c r="A60" s="1" t="str">
        <f>IFERROR(__xludf.DUMMYFUNCTION("""COMPUTED_VALUE"""),"7251696268")</f>
        <v>7251696268</v>
      </c>
      <c r="B60" s="1" t="str">
        <f>IFERROR(__xludf.DUMMYFUNCTION("""COMPUTED_VALUE"""),"Vila-Garcia")</f>
        <v>Vila-Garcia</v>
      </c>
      <c r="C60" s="1" t="str">
        <f>IFERROR(__xludf.DUMMYFUNCTION("""COMPUTED_VALUE"""),"Izel")</f>
        <v>Izel</v>
      </c>
      <c r="D60" s="2">
        <f>IFERROR(__xludf.DUMMYFUNCTION("""COMPUTED_VALUE"""),8.0)</f>
        <v>8</v>
      </c>
      <c r="E60" s="1" t="str">
        <f>IFERROR(__xludf.DUMMYFUNCTION("""COMPUTED_VALUE"""),"F")</f>
        <v>F</v>
      </c>
      <c r="F60" s="1" t="str">
        <f>IFERROR(__xludf.DUMMYFUNCTION("""COMPUTED_VALUE"""),"Yes, Hispanic or Latino")</f>
        <v>Yes, Hispanic or Latino</v>
      </c>
      <c r="G60" s="1" t="str">
        <f>IFERROR(__xludf.DUMMYFUNCTION("""COMPUTED_VALUE"""),"White")</f>
        <v>White</v>
      </c>
      <c r="H60" s="2">
        <f>IFERROR(__xludf.DUMMYFUNCTION("""COMPUTED_VALUE"""),1014.0)</f>
        <v>1014</v>
      </c>
      <c r="I60" s="1" t="str">
        <f>IFERROR(__xludf.DUMMYFUNCTION("""COMPUTED_VALUE"""),"001205")</f>
        <v>001205</v>
      </c>
      <c r="J60" s="3">
        <f>IFERROR(__xludf.DUMMYFUNCTION("""COMPUTED_VALUE"""),44792.0)</f>
        <v>44792</v>
      </c>
    </row>
    <row r="61">
      <c r="A61" s="1" t="str">
        <f>IFERROR(__xludf.DUMMYFUNCTION("""COMPUTED_VALUE"""),"9008938945")</f>
        <v>9008938945</v>
      </c>
      <c r="B61" s="1" t="str">
        <f>IFERROR(__xludf.DUMMYFUNCTION("""COMPUTED_VALUE"""),"Wadford")</f>
        <v>Wadford</v>
      </c>
      <c r="C61" s="1" t="str">
        <f>IFERROR(__xludf.DUMMYFUNCTION("""COMPUTED_VALUE"""),"Bree")</f>
        <v>Bree</v>
      </c>
      <c r="D61" s="2">
        <f>IFERROR(__xludf.DUMMYFUNCTION("""COMPUTED_VALUE"""),8.0)</f>
        <v>8</v>
      </c>
      <c r="E61" s="1" t="str">
        <f>IFERROR(__xludf.DUMMYFUNCTION("""COMPUTED_VALUE"""),"F")</f>
        <v>F</v>
      </c>
      <c r="F61" s="1" t="str">
        <f>IFERROR(__xludf.DUMMYFUNCTION("""COMPUTED_VALUE"""),"No, not Hispanic or Latino")</f>
        <v>No, not Hispanic or Latino</v>
      </c>
      <c r="G61" s="1" t="str">
        <f>IFERROR(__xludf.DUMMYFUNCTION("""COMPUTED_VALUE"""),"Black or African American")</f>
        <v>Black or African American</v>
      </c>
      <c r="H61" s="2">
        <f>IFERROR(__xludf.DUMMYFUNCTION("""COMPUTED_VALUE"""),1014.0)</f>
        <v>1014</v>
      </c>
      <c r="I61" s="1" t="str">
        <f>IFERROR(__xludf.DUMMYFUNCTION("""COMPUTED_VALUE"""),"001205")</f>
        <v>001205</v>
      </c>
      <c r="J61" s="3">
        <f>IFERROR(__xludf.DUMMYFUNCTION("""COMPUTED_VALUE"""),44792.0)</f>
        <v>44792</v>
      </c>
    </row>
    <row r="62">
      <c r="A62" s="1" t="str">
        <f>IFERROR(__xludf.DUMMYFUNCTION("""COMPUTED_VALUE"""),"9479649137")</f>
        <v>9479649137</v>
      </c>
      <c r="B62" s="1" t="str">
        <f>IFERROR(__xludf.DUMMYFUNCTION("""COMPUTED_VALUE"""),"Ahlemeyer")</f>
        <v>Ahlemeyer</v>
      </c>
      <c r="C62" s="1" t="str">
        <f>IFERROR(__xludf.DUMMYFUNCTION("""COMPUTED_VALUE"""),"Charles")</f>
        <v>Charles</v>
      </c>
      <c r="D62" s="2">
        <f>IFERROR(__xludf.DUMMYFUNCTION("""COMPUTED_VALUE"""),8.0)</f>
        <v>8</v>
      </c>
      <c r="E62" s="1" t="str">
        <f>IFERROR(__xludf.DUMMYFUNCTION("""COMPUTED_VALUE"""),"M")</f>
        <v>M</v>
      </c>
      <c r="F62" s="1" t="str">
        <f>IFERROR(__xludf.DUMMYFUNCTION("""COMPUTED_VALUE"""),"No, not Hispanic or Latino")</f>
        <v>No, not Hispanic or Latino</v>
      </c>
      <c r="G62" s="1" t="str">
        <f>IFERROR(__xludf.DUMMYFUNCTION("""COMPUTED_VALUE"""),"White")</f>
        <v>White</v>
      </c>
      <c r="H62" s="2">
        <f>IFERROR(__xludf.DUMMYFUNCTION("""COMPUTED_VALUE"""),1024.0)</f>
        <v>1024</v>
      </c>
      <c r="I62" s="1" t="str">
        <f>IFERROR(__xludf.DUMMYFUNCTION("""COMPUTED_VALUE"""),"001205")</f>
        <v>001205</v>
      </c>
      <c r="J62" s="3">
        <f>IFERROR(__xludf.DUMMYFUNCTION("""COMPUTED_VALUE"""),45158.0)</f>
        <v>45158</v>
      </c>
    </row>
    <row r="63">
      <c r="A63" s="1" t="str">
        <f>IFERROR(__xludf.DUMMYFUNCTION("""COMPUTED_VALUE"""),"7546451130")</f>
        <v>7546451130</v>
      </c>
      <c r="B63" s="1" t="str">
        <f>IFERROR(__xludf.DUMMYFUNCTION("""COMPUTED_VALUE"""),"Case")</f>
        <v>Case</v>
      </c>
      <c r="C63" s="1" t="str">
        <f>IFERROR(__xludf.DUMMYFUNCTION("""COMPUTED_VALUE"""),"Tyler")</f>
        <v>Tyler</v>
      </c>
      <c r="D63" s="2">
        <f>IFERROR(__xludf.DUMMYFUNCTION("""COMPUTED_VALUE"""),8.0)</f>
        <v>8</v>
      </c>
      <c r="E63" s="1" t="str">
        <f>IFERROR(__xludf.DUMMYFUNCTION("""COMPUTED_VALUE"""),"M")</f>
        <v>M</v>
      </c>
      <c r="F63" s="1" t="str">
        <f>IFERROR(__xludf.DUMMYFUNCTION("""COMPUTED_VALUE"""),"No, not Hispanic or Latino")</f>
        <v>No, not Hispanic or Latino</v>
      </c>
      <c r="G63" s="1" t="str">
        <f>IFERROR(__xludf.DUMMYFUNCTION("""COMPUTED_VALUE"""),"White")</f>
        <v>White</v>
      </c>
      <c r="H63" s="2">
        <f>IFERROR(__xludf.DUMMYFUNCTION("""COMPUTED_VALUE"""),1024.0)</f>
        <v>1024</v>
      </c>
      <c r="I63" s="1" t="str">
        <f>IFERROR(__xludf.DUMMYFUNCTION("""COMPUTED_VALUE"""),"001205")</f>
        <v>001205</v>
      </c>
      <c r="J63" s="3">
        <f>IFERROR(__xludf.DUMMYFUNCTION("""COMPUTED_VALUE"""),45158.0)</f>
        <v>45158</v>
      </c>
    </row>
    <row r="64">
      <c r="A64" s="1" t="str">
        <f>IFERROR(__xludf.DUMMYFUNCTION("""COMPUTED_VALUE"""),"2016291082")</f>
        <v>2016291082</v>
      </c>
      <c r="B64" s="1" t="str">
        <f>IFERROR(__xludf.DUMMYFUNCTION("""COMPUTED_VALUE"""),"Chew")</f>
        <v>Chew</v>
      </c>
      <c r="C64" s="1" t="str">
        <f>IFERROR(__xludf.DUMMYFUNCTION("""COMPUTED_VALUE"""),"Zoey")</f>
        <v>Zoey</v>
      </c>
      <c r="D64" s="2">
        <f>IFERROR(__xludf.DUMMYFUNCTION("""COMPUTED_VALUE"""),7.0)</f>
        <v>7</v>
      </c>
      <c r="E64" s="1" t="str">
        <f>IFERROR(__xludf.DUMMYFUNCTION("""COMPUTED_VALUE"""),"F")</f>
        <v>F</v>
      </c>
      <c r="F64" s="1" t="str">
        <f>IFERROR(__xludf.DUMMYFUNCTION("""COMPUTED_VALUE"""),"No, not Hispanic or Latino")</f>
        <v>No, not Hispanic or Latino</v>
      </c>
      <c r="G64" s="1" t="str">
        <f>IFERROR(__xludf.DUMMYFUNCTION("""COMPUTED_VALUE"""),"Chinese")</f>
        <v>Chinese</v>
      </c>
      <c r="H64" s="2">
        <f>IFERROR(__xludf.DUMMYFUNCTION("""COMPUTED_VALUE"""),1024.0)</f>
        <v>1024</v>
      </c>
      <c r="I64" s="1" t="str">
        <f>IFERROR(__xludf.DUMMYFUNCTION("""COMPUTED_VALUE"""),"001205")</f>
        <v>001205</v>
      </c>
      <c r="J64" s="3">
        <f>IFERROR(__xludf.DUMMYFUNCTION("""COMPUTED_VALUE"""),45158.0)</f>
        <v>45158</v>
      </c>
    </row>
    <row r="65">
      <c r="A65" s="1" t="str">
        <f>IFERROR(__xludf.DUMMYFUNCTION("""COMPUTED_VALUE"""),"2731253005")</f>
        <v>2731253005</v>
      </c>
      <c r="B65" s="1" t="str">
        <f>IFERROR(__xludf.DUMMYFUNCTION("""COMPUTED_VALUE"""),"Clyne")</f>
        <v>Clyne</v>
      </c>
      <c r="C65" s="1" t="str">
        <f>IFERROR(__xludf.DUMMYFUNCTION("""COMPUTED_VALUE"""),"Francis")</f>
        <v>Francis</v>
      </c>
      <c r="D65" s="2">
        <f>IFERROR(__xludf.DUMMYFUNCTION("""COMPUTED_VALUE"""),8.0)</f>
        <v>8</v>
      </c>
      <c r="E65" s="1" t="str">
        <f>IFERROR(__xludf.DUMMYFUNCTION("""COMPUTED_VALUE"""),"M")</f>
        <v>M</v>
      </c>
      <c r="F65" s="1" t="str">
        <f>IFERROR(__xludf.DUMMYFUNCTION("""COMPUTED_VALUE"""),"No, not Hispanic or Latino")</f>
        <v>No, not Hispanic or Latino</v>
      </c>
      <c r="G65" s="1" t="str">
        <f>IFERROR(__xludf.DUMMYFUNCTION("""COMPUTED_VALUE"""),"White")</f>
        <v>White</v>
      </c>
      <c r="H65" s="2">
        <f>IFERROR(__xludf.DUMMYFUNCTION("""COMPUTED_VALUE"""),1024.0)</f>
        <v>1024</v>
      </c>
      <c r="I65" s="1" t="str">
        <f>IFERROR(__xludf.DUMMYFUNCTION("""COMPUTED_VALUE"""),"001205")</f>
        <v>001205</v>
      </c>
      <c r="J65" s="3">
        <f>IFERROR(__xludf.DUMMYFUNCTION("""COMPUTED_VALUE"""),45158.0)</f>
        <v>45158</v>
      </c>
    </row>
    <row r="66">
      <c r="A66" s="1" t="str">
        <f>IFERROR(__xludf.DUMMYFUNCTION("""COMPUTED_VALUE"""),"1845899627")</f>
        <v>1845899627</v>
      </c>
      <c r="B66" s="1" t="str">
        <f>IFERROR(__xludf.DUMMYFUNCTION("""COMPUTED_VALUE"""),"Cruzat")</f>
        <v>Cruzat</v>
      </c>
      <c r="C66" s="1" t="str">
        <f>IFERROR(__xludf.DUMMYFUNCTION("""COMPUTED_VALUE"""),"Kimberly Mae")</f>
        <v>Kimberly Mae</v>
      </c>
      <c r="D66" s="2">
        <f>IFERROR(__xludf.DUMMYFUNCTION("""COMPUTED_VALUE"""),8.0)</f>
        <v>8</v>
      </c>
      <c r="E66" s="1" t="str">
        <f>IFERROR(__xludf.DUMMYFUNCTION("""COMPUTED_VALUE"""),"F")</f>
        <v>F</v>
      </c>
      <c r="F66" s="1" t="str">
        <f>IFERROR(__xludf.DUMMYFUNCTION("""COMPUTED_VALUE"""),"No, not Hispanic or Latino")</f>
        <v>No, not Hispanic or Latino</v>
      </c>
      <c r="G66" s="1" t="str">
        <f>IFERROR(__xludf.DUMMYFUNCTION("""COMPUTED_VALUE"""),"Filipino")</f>
        <v>Filipino</v>
      </c>
      <c r="H66" s="2">
        <f>IFERROR(__xludf.DUMMYFUNCTION("""COMPUTED_VALUE"""),1024.0)</f>
        <v>1024</v>
      </c>
      <c r="I66" s="1" t="str">
        <f>IFERROR(__xludf.DUMMYFUNCTION("""COMPUTED_VALUE"""),"001205")</f>
        <v>001205</v>
      </c>
      <c r="J66" s="3">
        <f>IFERROR(__xludf.DUMMYFUNCTION("""COMPUTED_VALUE"""),45158.0)</f>
        <v>45158</v>
      </c>
    </row>
    <row r="67">
      <c r="A67" s="1" t="str">
        <f>IFERROR(__xludf.DUMMYFUNCTION("""COMPUTED_VALUE"""),"3768808983")</f>
        <v>3768808983</v>
      </c>
      <c r="B67" s="1" t="str">
        <f>IFERROR(__xludf.DUMMYFUNCTION("""COMPUTED_VALUE"""),"Ekstrand")</f>
        <v>Ekstrand</v>
      </c>
      <c r="C67" s="1" t="str">
        <f>IFERROR(__xludf.DUMMYFUNCTION("""COMPUTED_VALUE"""),"Emmett")</f>
        <v>Emmett</v>
      </c>
      <c r="D67" s="2">
        <f>IFERROR(__xludf.DUMMYFUNCTION("""COMPUTED_VALUE"""),8.0)</f>
        <v>8</v>
      </c>
      <c r="E67" s="1" t="str">
        <f>IFERROR(__xludf.DUMMYFUNCTION("""COMPUTED_VALUE"""),"M")</f>
        <v>M</v>
      </c>
      <c r="F67" s="1" t="str">
        <f>IFERROR(__xludf.DUMMYFUNCTION("""COMPUTED_VALUE"""),"No, not Hispanic or Latino")</f>
        <v>No, not Hispanic or Latino</v>
      </c>
      <c r="G67" s="1" t="str">
        <f>IFERROR(__xludf.DUMMYFUNCTION("""COMPUTED_VALUE"""),"White")</f>
        <v>White</v>
      </c>
      <c r="H67" s="2">
        <f>IFERROR(__xludf.DUMMYFUNCTION("""COMPUTED_VALUE"""),1024.0)</f>
        <v>1024</v>
      </c>
      <c r="I67" s="1" t="str">
        <f>IFERROR(__xludf.DUMMYFUNCTION("""COMPUTED_VALUE"""),"001205")</f>
        <v>001205</v>
      </c>
      <c r="J67" s="3">
        <f>IFERROR(__xludf.DUMMYFUNCTION("""COMPUTED_VALUE"""),45158.0)</f>
        <v>45158</v>
      </c>
    </row>
    <row r="68">
      <c r="A68" s="1" t="str">
        <f>IFERROR(__xludf.DUMMYFUNCTION("""COMPUTED_VALUE"""),"8354191645")</f>
        <v>8354191645</v>
      </c>
      <c r="B68" s="1" t="str">
        <f>IFERROR(__xludf.DUMMYFUNCTION("""COMPUTED_VALUE"""),"Garcia")</f>
        <v>Garcia</v>
      </c>
      <c r="C68" s="1" t="str">
        <f>IFERROR(__xludf.DUMMYFUNCTION("""COMPUTED_VALUE"""),"Alexis")</f>
        <v>Alexis</v>
      </c>
      <c r="D68" s="2">
        <f>IFERROR(__xludf.DUMMYFUNCTION("""COMPUTED_VALUE"""),8.0)</f>
        <v>8</v>
      </c>
      <c r="E68" s="1" t="str">
        <f>IFERROR(__xludf.DUMMYFUNCTION("""COMPUTED_VALUE"""),"F")</f>
        <v>F</v>
      </c>
      <c r="F68" s="1" t="str">
        <f>IFERROR(__xludf.DUMMYFUNCTION("""COMPUTED_VALUE"""),"Yes, Hispanic or Latino")</f>
        <v>Yes, Hispanic or Latino</v>
      </c>
      <c r="G68" s="1" t="str">
        <f>IFERROR(__xludf.DUMMYFUNCTION("""COMPUTED_VALUE"""),"White")</f>
        <v>White</v>
      </c>
      <c r="H68" s="2">
        <f>IFERROR(__xludf.DUMMYFUNCTION("""COMPUTED_VALUE"""),1024.0)</f>
        <v>1024</v>
      </c>
      <c r="I68" s="1" t="str">
        <f>IFERROR(__xludf.DUMMYFUNCTION("""COMPUTED_VALUE"""),"001205")</f>
        <v>001205</v>
      </c>
      <c r="J68" s="3">
        <f>IFERROR(__xludf.DUMMYFUNCTION("""COMPUTED_VALUE"""),45158.0)</f>
        <v>45158</v>
      </c>
    </row>
    <row r="69">
      <c r="A69" s="1" t="str">
        <f>IFERROR(__xludf.DUMMYFUNCTION("""COMPUTED_VALUE"""),"4601071383")</f>
        <v>4601071383</v>
      </c>
      <c r="B69" s="1" t="str">
        <f>IFERROR(__xludf.DUMMYFUNCTION("""COMPUTED_VALUE"""),"Garroway Myers")</f>
        <v>Garroway Myers</v>
      </c>
      <c r="C69" s="1" t="str">
        <f>IFERROR(__xludf.DUMMYFUNCTION("""COMPUTED_VALUE"""),"Ella")</f>
        <v>Ella</v>
      </c>
      <c r="D69" s="2">
        <f>IFERROR(__xludf.DUMMYFUNCTION("""COMPUTED_VALUE"""),8.0)</f>
        <v>8</v>
      </c>
      <c r="E69" s="1" t="str">
        <f>IFERROR(__xludf.DUMMYFUNCTION("""COMPUTED_VALUE"""),"F")</f>
        <v>F</v>
      </c>
      <c r="F69" s="1" t="str">
        <f>IFERROR(__xludf.DUMMYFUNCTION("""COMPUTED_VALUE"""),"No, not Hispanic or Latino")</f>
        <v>No, not Hispanic or Latino</v>
      </c>
      <c r="G69" s="1" t="str">
        <f>IFERROR(__xludf.DUMMYFUNCTION("""COMPUTED_VALUE"""),"White")</f>
        <v>White</v>
      </c>
      <c r="H69" s="2">
        <f>IFERROR(__xludf.DUMMYFUNCTION("""COMPUTED_VALUE"""),1024.0)</f>
        <v>1024</v>
      </c>
      <c r="I69" s="1" t="str">
        <f>IFERROR(__xludf.DUMMYFUNCTION("""COMPUTED_VALUE"""),"001205")</f>
        <v>001205</v>
      </c>
      <c r="J69" s="3">
        <f>IFERROR(__xludf.DUMMYFUNCTION("""COMPUTED_VALUE"""),45158.0)</f>
        <v>45158</v>
      </c>
    </row>
    <row r="70">
      <c r="A70" s="1" t="str">
        <f>IFERROR(__xludf.DUMMYFUNCTION("""COMPUTED_VALUE"""),"4677096374")</f>
        <v>4677096374</v>
      </c>
      <c r="B70" s="1" t="str">
        <f>IFERROR(__xludf.DUMMYFUNCTION("""COMPUTED_VALUE"""),"Garza")</f>
        <v>Garza</v>
      </c>
      <c r="C70" s="1" t="str">
        <f>IFERROR(__xludf.DUMMYFUNCTION("""COMPUTED_VALUE"""),"Itzel")</f>
        <v>Itzel</v>
      </c>
      <c r="D70" s="2">
        <f>IFERROR(__xludf.DUMMYFUNCTION("""COMPUTED_VALUE"""),8.0)</f>
        <v>8</v>
      </c>
      <c r="E70" s="1" t="str">
        <f>IFERROR(__xludf.DUMMYFUNCTION("""COMPUTED_VALUE"""),"F")</f>
        <v>F</v>
      </c>
      <c r="F70" s="1" t="str">
        <f>IFERROR(__xludf.DUMMYFUNCTION("""COMPUTED_VALUE"""),"Yes, Hispanic or Latino")</f>
        <v>Yes, Hispanic or Latino</v>
      </c>
      <c r="G70" s="1" t="str">
        <f>IFERROR(__xludf.DUMMYFUNCTION("""COMPUTED_VALUE"""),"American Indian or Alaskan Native")</f>
        <v>American Indian or Alaskan Native</v>
      </c>
      <c r="H70" s="2">
        <f>IFERROR(__xludf.DUMMYFUNCTION("""COMPUTED_VALUE"""),1024.0)</f>
        <v>1024</v>
      </c>
      <c r="I70" s="1" t="str">
        <f>IFERROR(__xludf.DUMMYFUNCTION("""COMPUTED_VALUE"""),"001205")</f>
        <v>001205</v>
      </c>
      <c r="J70" s="3">
        <f>IFERROR(__xludf.DUMMYFUNCTION("""COMPUTED_VALUE"""),45158.0)</f>
        <v>45158</v>
      </c>
    </row>
    <row r="71">
      <c r="A71" s="1" t="str">
        <f>IFERROR(__xludf.DUMMYFUNCTION("""COMPUTED_VALUE"""),"8622758744")</f>
        <v>8622758744</v>
      </c>
      <c r="B71" s="1" t="str">
        <f>IFERROR(__xludf.DUMMYFUNCTION("""COMPUTED_VALUE"""),"Henry")</f>
        <v>Henry</v>
      </c>
      <c r="C71" s="1" t="str">
        <f>IFERROR(__xludf.DUMMYFUNCTION("""COMPUTED_VALUE"""),"Ayla")</f>
        <v>Ayla</v>
      </c>
      <c r="D71" s="2">
        <f>IFERROR(__xludf.DUMMYFUNCTION("""COMPUTED_VALUE"""),8.0)</f>
        <v>8</v>
      </c>
      <c r="E71" s="1" t="str">
        <f>IFERROR(__xludf.DUMMYFUNCTION("""COMPUTED_VALUE"""),"F")</f>
        <v>F</v>
      </c>
      <c r="F71" s="1" t="str">
        <f>IFERROR(__xludf.DUMMYFUNCTION("""COMPUTED_VALUE"""),"No, not Hispanic or Latino")</f>
        <v>No, not Hispanic or Latino</v>
      </c>
      <c r="G71" s="1" t="str">
        <f>IFERROR(__xludf.DUMMYFUNCTION("""COMPUTED_VALUE"""),"White")</f>
        <v>White</v>
      </c>
      <c r="H71" s="2">
        <f>IFERROR(__xludf.DUMMYFUNCTION("""COMPUTED_VALUE"""),1024.0)</f>
        <v>1024</v>
      </c>
      <c r="I71" s="1" t="str">
        <f>IFERROR(__xludf.DUMMYFUNCTION("""COMPUTED_VALUE"""),"001205")</f>
        <v>001205</v>
      </c>
      <c r="J71" s="3">
        <f>IFERROR(__xludf.DUMMYFUNCTION("""COMPUTED_VALUE"""),45158.0)</f>
        <v>45158</v>
      </c>
    </row>
    <row r="72">
      <c r="A72" s="1" t="str">
        <f>IFERROR(__xludf.DUMMYFUNCTION("""COMPUTED_VALUE"""),"5268038850")</f>
        <v>5268038850</v>
      </c>
      <c r="B72" s="1" t="str">
        <f>IFERROR(__xludf.DUMMYFUNCTION("""COMPUTED_VALUE"""),"Hernandez")</f>
        <v>Hernandez</v>
      </c>
      <c r="C72" s="1" t="str">
        <f>IFERROR(__xludf.DUMMYFUNCTION("""COMPUTED_VALUE"""),"Sofia")</f>
        <v>Sofia</v>
      </c>
      <c r="D72" s="2">
        <f>IFERROR(__xludf.DUMMYFUNCTION("""COMPUTED_VALUE"""),8.0)</f>
        <v>8</v>
      </c>
      <c r="E72" s="1" t="str">
        <f>IFERROR(__xludf.DUMMYFUNCTION("""COMPUTED_VALUE"""),"F")</f>
        <v>F</v>
      </c>
      <c r="F72" s="1" t="str">
        <f>IFERROR(__xludf.DUMMYFUNCTION("""COMPUTED_VALUE"""),"Yes, Hispanic or Latino")</f>
        <v>Yes, Hispanic or Latino</v>
      </c>
      <c r="G72" s="1" t="str">
        <f>IFERROR(__xludf.DUMMYFUNCTION("""COMPUTED_VALUE"""),"White")</f>
        <v>White</v>
      </c>
      <c r="H72" s="2">
        <f>IFERROR(__xludf.DUMMYFUNCTION("""COMPUTED_VALUE"""),1024.0)</f>
        <v>1024</v>
      </c>
      <c r="I72" s="1" t="str">
        <f>IFERROR(__xludf.DUMMYFUNCTION("""COMPUTED_VALUE"""),"001205")</f>
        <v>001205</v>
      </c>
      <c r="J72" s="3">
        <f>IFERROR(__xludf.DUMMYFUNCTION("""COMPUTED_VALUE"""),45158.0)</f>
        <v>45158</v>
      </c>
    </row>
    <row r="73">
      <c r="A73" s="1" t="str">
        <f>IFERROR(__xludf.DUMMYFUNCTION("""COMPUTED_VALUE"""),"7187902255")</f>
        <v>7187902255</v>
      </c>
      <c r="B73" s="1" t="str">
        <f>IFERROR(__xludf.DUMMYFUNCTION("""COMPUTED_VALUE"""),"Kemp")</f>
        <v>Kemp</v>
      </c>
      <c r="C73" s="1" t="str">
        <f>IFERROR(__xludf.DUMMYFUNCTION("""COMPUTED_VALUE"""),"Midori")</f>
        <v>Midori</v>
      </c>
      <c r="D73" s="2">
        <f>IFERROR(__xludf.DUMMYFUNCTION("""COMPUTED_VALUE"""),8.0)</f>
        <v>8</v>
      </c>
      <c r="E73" s="1" t="str">
        <f>IFERROR(__xludf.DUMMYFUNCTION("""COMPUTED_VALUE"""),"F")</f>
        <v>F</v>
      </c>
      <c r="F73" s="1" t="str">
        <f>IFERROR(__xludf.DUMMYFUNCTION("""COMPUTED_VALUE"""),"No, not Hispanic or Latino")</f>
        <v>No, not Hispanic or Latino</v>
      </c>
      <c r="G73" s="1" t="str">
        <f>IFERROR(__xludf.DUMMYFUNCTION("""COMPUTED_VALUE"""),"Japanese")</f>
        <v>Japanese</v>
      </c>
      <c r="H73" s="2">
        <f>IFERROR(__xludf.DUMMYFUNCTION("""COMPUTED_VALUE"""),1024.0)</f>
        <v>1024</v>
      </c>
      <c r="I73" s="1" t="str">
        <f>IFERROR(__xludf.DUMMYFUNCTION("""COMPUTED_VALUE"""),"001205")</f>
        <v>001205</v>
      </c>
      <c r="J73" s="3">
        <f>IFERROR(__xludf.DUMMYFUNCTION("""COMPUTED_VALUE"""),45158.0)</f>
        <v>45158</v>
      </c>
    </row>
    <row r="74">
      <c r="A74" s="1" t="str">
        <f>IFERROR(__xludf.DUMMYFUNCTION("""COMPUTED_VALUE"""),"4592007854")</f>
        <v>4592007854</v>
      </c>
      <c r="B74" s="1" t="str">
        <f>IFERROR(__xludf.DUMMYFUNCTION("""COMPUTED_VALUE"""),"Kurlan")</f>
        <v>Kurlan</v>
      </c>
      <c r="C74" s="1" t="str">
        <f>IFERROR(__xludf.DUMMYFUNCTION("""COMPUTED_VALUE"""),"Sophie")</f>
        <v>Sophie</v>
      </c>
      <c r="D74" s="2">
        <f>IFERROR(__xludf.DUMMYFUNCTION("""COMPUTED_VALUE"""),8.0)</f>
        <v>8</v>
      </c>
      <c r="E74" s="1" t="str">
        <f>IFERROR(__xludf.DUMMYFUNCTION("""COMPUTED_VALUE"""),"F")</f>
        <v>F</v>
      </c>
      <c r="F74" s="1" t="str">
        <f>IFERROR(__xludf.DUMMYFUNCTION("""COMPUTED_VALUE"""),"No, not Hispanic or Latino")</f>
        <v>No, not Hispanic or Latino</v>
      </c>
      <c r="G74" s="1" t="str">
        <f>IFERROR(__xludf.DUMMYFUNCTION("""COMPUTED_VALUE"""),"White")</f>
        <v>White</v>
      </c>
      <c r="H74" s="2">
        <f>IFERROR(__xludf.DUMMYFUNCTION("""COMPUTED_VALUE"""),1024.0)</f>
        <v>1024</v>
      </c>
      <c r="I74" s="1" t="str">
        <f>IFERROR(__xludf.DUMMYFUNCTION("""COMPUTED_VALUE"""),"001205")</f>
        <v>001205</v>
      </c>
      <c r="J74" s="3">
        <f>IFERROR(__xludf.DUMMYFUNCTION("""COMPUTED_VALUE"""),45158.0)</f>
        <v>45158</v>
      </c>
    </row>
    <row r="75">
      <c r="A75" s="1" t="str">
        <f>IFERROR(__xludf.DUMMYFUNCTION("""COMPUTED_VALUE"""),"2290010310")</f>
        <v>2290010310</v>
      </c>
      <c r="B75" s="1" t="str">
        <f>IFERROR(__xludf.DUMMYFUNCTION("""COMPUTED_VALUE"""),"Levijarvi")</f>
        <v>Levijarvi</v>
      </c>
      <c r="C75" s="1" t="str">
        <f>IFERROR(__xludf.DUMMYFUNCTION("""COMPUTED_VALUE"""),"Shota")</f>
        <v>Shota</v>
      </c>
      <c r="D75" s="2">
        <f>IFERROR(__xludf.DUMMYFUNCTION("""COMPUTED_VALUE"""),8.0)</f>
        <v>8</v>
      </c>
      <c r="E75" s="1" t="str">
        <f>IFERROR(__xludf.DUMMYFUNCTION("""COMPUTED_VALUE"""),"M")</f>
        <v>M</v>
      </c>
      <c r="F75" s="1" t="str">
        <f>IFERROR(__xludf.DUMMYFUNCTION("""COMPUTED_VALUE"""),"No, not Hispanic or Latino")</f>
        <v>No, not Hispanic or Latino</v>
      </c>
      <c r="G75" s="1" t="str">
        <f>IFERROR(__xludf.DUMMYFUNCTION("""COMPUTED_VALUE"""),"Japanese")</f>
        <v>Japanese</v>
      </c>
      <c r="H75" s="2">
        <f>IFERROR(__xludf.DUMMYFUNCTION("""COMPUTED_VALUE"""),1024.0)</f>
        <v>1024</v>
      </c>
      <c r="I75" s="1" t="str">
        <f>IFERROR(__xludf.DUMMYFUNCTION("""COMPUTED_VALUE"""),"001205")</f>
        <v>001205</v>
      </c>
      <c r="J75" s="3">
        <f>IFERROR(__xludf.DUMMYFUNCTION("""COMPUTED_VALUE"""),45158.0)</f>
        <v>45158</v>
      </c>
    </row>
    <row r="76">
      <c r="A76" s="1" t="str">
        <f>IFERROR(__xludf.DUMMYFUNCTION("""COMPUTED_VALUE"""),"5924738867")</f>
        <v>5924738867</v>
      </c>
      <c r="B76" s="1" t="str">
        <f>IFERROR(__xludf.DUMMYFUNCTION("""COMPUTED_VALUE"""),"Lewis")</f>
        <v>Lewis</v>
      </c>
      <c r="C76" s="1" t="str">
        <f>IFERROR(__xludf.DUMMYFUNCTION("""COMPUTED_VALUE"""),"Nathaniel")</f>
        <v>Nathaniel</v>
      </c>
      <c r="D76" s="2">
        <f>IFERROR(__xludf.DUMMYFUNCTION("""COMPUTED_VALUE"""),8.0)</f>
        <v>8</v>
      </c>
      <c r="E76" s="1" t="str">
        <f>IFERROR(__xludf.DUMMYFUNCTION("""COMPUTED_VALUE"""),"M")</f>
        <v>M</v>
      </c>
      <c r="F76" s="1" t="str">
        <f>IFERROR(__xludf.DUMMYFUNCTION("""COMPUTED_VALUE"""),"No, not Hispanic or Latino")</f>
        <v>No, not Hispanic or Latino</v>
      </c>
      <c r="G76" s="1" t="str">
        <f>IFERROR(__xludf.DUMMYFUNCTION("""COMPUTED_VALUE"""),"White")</f>
        <v>White</v>
      </c>
      <c r="H76" s="2">
        <f>IFERROR(__xludf.DUMMYFUNCTION("""COMPUTED_VALUE"""),1024.0)</f>
        <v>1024</v>
      </c>
      <c r="I76" s="1" t="str">
        <f>IFERROR(__xludf.DUMMYFUNCTION("""COMPUTED_VALUE"""),"001205")</f>
        <v>001205</v>
      </c>
      <c r="J76" s="3">
        <f>IFERROR(__xludf.DUMMYFUNCTION("""COMPUTED_VALUE"""),45158.0)</f>
        <v>45158</v>
      </c>
    </row>
    <row r="77">
      <c r="A77" s="1" t="str">
        <f>IFERROR(__xludf.DUMMYFUNCTION("""COMPUTED_VALUE"""),"8946566425")</f>
        <v>8946566425</v>
      </c>
      <c r="B77" s="1" t="str">
        <f>IFERROR(__xludf.DUMMYFUNCTION("""COMPUTED_VALUE"""),"Ludin")</f>
        <v>Ludin</v>
      </c>
      <c r="C77" s="1" t="str">
        <f>IFERROR(__xludf.DUMMYFUNCTION("""COMPUTED_VALUE"""),"Charlotte")</f>
        <v>Charlotte</v>
      </c>
      <c r="D77" s="2">
        <f>IFERROR(__xludf.DUMMYFUNCTION("""COMPUTED_VALUE"""),8.0)</f>
        <v>8</v>
      </c>
      <c r="E77" s="1" t="str">
        <f>IFERROR(__xludf.DUMMYFUNCTION("""COMPUTED_VALUE"""),"F")</f>
        <v>F</v>
      </c>
      <c r="F77" s="1" t="str">
        <f>IFERROR(__xludf.DUMMYFUNCTION("""COMPUTED_VALUE"""),"No, not Hispanic or Latino")</f>
        <v>No, not Hispanic or Latino</v>
      </c>
      <c r="G77" s="1" t="str">
        <f>IFERROR(__xludf.DUMMYFUNCTION("""COMPUTED_VALUE"""),"White")</f>
        <v>White</v>
      </c>
      <c r="H77" s="2">
        <f>IFERROR(__xludf.DUMMYFUNCTION("""COMPUTED_VALUE"""),1024.0)</f>
        <v>1024</v>
      </c>
      <c r="I77" s="1" t="str">
        <f>IFERROR(__xludf.DUMMYFUNCTION("""COMPUTED_VALUE"""),"001205")</f>
        <v>001205</v>
      </c>
      <c r="J77" s="3">
        <f>IFERROR(__xludf.DUMMYFUNCTION("""COMPUTED_VALUE"""),45158.0)</f>
        <v>45158</v>
      </c>
    </row>
    <row r="78">
      <c r="A78" s="1" t="str">
        <f>IFERROR(__xludf.DUMMYFUNCTION("""COMPUTED_VALUE"""),"7068776286")</f>
        <v>7068776286</v>
      </c>
      <c r="B78" s="1" t="str">
        <f>IFERROR(__xludf.DUMMYFUNCTION("""COMPUTED_VALUE"""),"Matthies")</f>
        <v>Matthies</v>
      </c>
      <c r="C78" s="1" t="str">
        <f>IFERROR(__xludf.DUMMYFUNCTION("""COMPUTED_VALUE"""),"Lilian")</f>
        <v>Lilian</v>
      </c>
      <c r="D78" s="2">
        <f>IFERROR(__xludf.DUMMYFUNCTION("""COMPUTED_VALUE"""),8.0)</f>
        <v>8</v>
      </c>
      <c r="E78" s="1" t="str">
        <f>IFERROR(__xludf.DUMMYFUNCTION("""COMPUTED_VALUE"""),"F")</f>
        <v>F</v>
      </c>
      <c r="F78" s="1" t="str">
        <f>IFERROR(__xludf.DUMMYFUNCTION("""COMPUTED_VALUE"""),"No, not Hispanic or Latino")</f>
        <v>No, not Hispanic or Latino</v>
      </c>
      <c r="G78" s="1" t="str">
        <f>IFERROR(__xludf.DUMMYFUNCTION("""COMPUTED_VALUE"""),"White")</f>
        <v>White</v>
      </c>
      <c r="H78" s="2">
        <f>IFERROR(__xludf.DUMMYFUNCTION("""COMPUTED_VALUE"""),1024.0)</f>
        <v>1024</v>
      </c>
      <c r="I78" s="1" t="str">
        <f>IFERROR(__xludf.DUMMYFUNCTION("""COMPUTED_VALUE"""),"001205")</f>
        <v>001205</v>
      </c>
      <c r="J78" s="3">
        <f>IFERROR(__xludf.DUMMYFUNCTION("""COMPUTED_VALUE"""),45158.0)</f>
        <v>45158</v>
      </c>
    </row>
    <row r="79">
      <c r="A79" s="1" t="str">
        <f>IFERROR(__xludf.DUMMYFUNCTION("""COMPUTED_VALUE"""),"5625842433")</f>
        <v>5625842433</v>
      </c>
      <c r="B79" s="1" t="str">
        <f>IFERROR(__xludf.DUMMYFUNCTION("""COMPUTED_VALUE"""),"McKay")</f>
        <v>McKay</v>
      </c>
      <c r="C79" s="1" t="str">
        <f>IFERROR(__xludf.DUMMYFUNCTION("""COMPUTED_VALUE"""),"Charlotte")</f>
        <v>Charlotte</v>
      </c>
      <c r="D79" s="2">
        <f>IFERROR(__xludf.DUMMYFUNCTION("""COMPUTED_VALUE"""),8.0)</f>
        <v>8</v>
      </c>
      <c r="E79" s="1" t="str">
        <f>IFERROR(__xludf.DUMMYFUNCTION("""COMPUTED_VALUE"""),"F")</f>
        <v>F</v>
      </c>
      <c r="F79" s="1" t="str">
        <f>IFERROR(__xludf.DUMMYFUNCTION("""COMPUTED_VALUE"""),"No, not Hispanic or Latino")</f>
        <v>No, not Hispanic or Latino</v>
      </c>
      <c r="G79" s="1" t="str">
        <f>IFERROR(__xludf.DUMMYFUNCTION("""COMPUTED_VALUE"""),"White")</f>
        <v>White</v>
      </c>
      <c r="H79" s="2">
        <f>IFERROR(__xludf.DUMMYFUNCTION("""COMPUTED_VALUE"""),1024.0)</f>
        <v>1024</v>
      </c>
      <c r="I79" s="1" t="str">
        <f>IFERROR(__xludf.DUMMYFUNCTION("""COMPUTED_VALUE"""),"001205")</f>
        <v>001205</v>
      </c>
      <c r="J79" s="3">
        <f>IFERROR(__xludf.DUMMYFUNCTION("""COMPUTED_VALUE"""),45158.0)</f>
        <v>45158</v>
      </c>
    </row>
    <row r="80">
      <c r="A80" s="1" t="str">
        <f>IFERROR(__xludf.DUMMYFUNCTION("""COMPUTED_VALUE"""),"5276457235")</f>
        <v>5276457235</v>
      </c>
      <c r="B80" s="1" t="str">
        <f>IFERROR(__xludf.DUMMYFUNCTION("""COMPUTED_VALUE"""),"Milener")</f>
        <v>Milener</v>
      </c>
      <c r="C80" s="1" t="str">
        <f>IFERROR(__xludf.DUMMYFUNCTION("""COMPUTED_VALUE"""),"Kennedy")</f>
        <v>Kennedy</v>
      </c>
      <c r="D80" s="2">
        <f>IFERROR(__xludf.DUMMYFUNCTION("""COMPUTED_VALUE"""),7.0)</f>
        <v>7</v>
      </c>
      <c r="E80" s="1" t="str">
        <f>IFERROR(__xludf.DUMMYFUNCTION("""COMPUTED_VALUE"""),"F")</f>
        <v>F</v>
      </c>
      <c r="F80" s="1" t="str">
        <f>IFERROR(__xludf.DUMMYFUNCTION("""COMPUTED_VALUE"""),"No, not Hispanic or Latino")</f>
        <v>No, not Hispanic or Latino</v>
      </c>
      <c r="G80" s="1" t="str">
        <f>IFERROR(__xludf.DUMMYFUNCTION("""COMPUTED_VALUE"""),"White")</f>
        <v>White</v>
      </c>
      <c r="H80" s="2">
        <f>IFERROR(__xludf.DUMMYFUNCTION("""COMPUTED_VALUE"""),1024.0)</f>
        <v>1024</v>
      </c>
      <c r="I80" s="1" t="str">
        <f>IFERROR(__xludf.DUMMYFUNCTION("""COMPUTED_VALUE"""),"001205")</f>
        <v>001205</v>
      </c>
      <c r="J80" s="3">
        <f>IFERROR(__xludf.DUMMYFUNCTION("""COMPUTED_VALUE"""),45158.0)</f>
        <v>45158</v>
      </c>
    </row>
    <row r="81">
      <c r="A81" s="1" t="str">
        <f>IFERROR(__xludf.DUMMYFUNCTION("""COMPUTED_VALUE"""),"9296848967")</f>
        <v>9296848967</v>
      </c>
      <c r="B81" s="1" t="str">
        <f>IFERROR(__xludf.DUMMYFUNCTION("""COMPUTED_VALUE"""),"Minor")</f>
        <v>Minor</v>
      </c>
      <c r="C81" s="1" t="str">
        <f>IFERROR(__xludf.DUMMYFUNCTION("""COMPUTED_VALUE"""),"Noah")</f>
        <v>Noah</v>
      </c>
      <c r="D81" s="2">
        <f>IFERROR(__xludf.DUMMYFUNCTION("""COMPUTED_VALUE"""),8.0)</f>
        <v>8</v>
      </c>
      <c r="E81" s="1" t="str">
        <f>IFERROR(__xludf.DUMMYFUNCTION("""COMPUTED_VALUE"""),"M")</f>
        <v>M</v>
      </c>
      <c r="F81" s="1" t="str">
        <f>IFERROR(__xludf.DUMMYFUNCTION("""COMPUTED_VALUE"""),"No, not Hispanic or Latino")</f>
        <v>No, not Hispanic or Latino</v>
      </c>
      <c r="G81" s="1" t="str">
        <f>IFERROR(__xludf.DUMMYFUNCTION("""COMPUTED_VALUE"""),"Black or African American")</f>
        <v>Black or African American</v>
      </c>
      <c r="H81" s="2">
        <f>IFERROR(__xludf.DUMMYFUNCTION("""COMPUTED_VALUE"""),1024.0)</f>
        <v>1024</v>
      </c>
      <c r="I81" s="1" t="str">
        <f>IFERROR(__xludf.DUMMYFUNCTION("""COMPUTED_VALUE"""),"001205")</f>
        <v>001205</v>
      </c>
      <c r="J81" s="3">
        <f>IFERROR(__xludf.DUMMYFUNCTION("""COMPUTED_VALUE"""),45158.0)</f>
        <v>45158</v>
      </c>
    </row>
    <row r="82">
      <c r="A82" s="1" t="str">
        <f>IFERROR(__xludf.DUMMYFUNCTION("""COMPUTED_VALUE"""),"7292326140")</f>
        <v>7292326140</v>
      </c>
      <c r="B82" s="1" t="str">
        <f>IFERROR(__xludf.DUMMYFUNCTION("""COMPUTED_VALUE"""),"Mokelke")</f>
        <v>Mokelke</v>
      </c>
      <c r="C82" s="1" t="str">
        <f>IFERROR(__xludf.DUMMYFUNCTION("""COMPUTED_VALUE"""),"Camille")</f>
        <v>Camille</v>
      </c>
      <c r="D82" s="2">
        <f>IFERROR(__xludf.DUMMYFUNCTION("""COMPUTED_VALUE"""),8.0)</f>
        <v>8</v>
      </c>
      <c r="E82" s="1" t="str">
        <f>IFERROR(__xludf.DUMMYFUNCTION("""COMPUTED_VALUE"""),"F")</f>
        <v>F</v>
      </c>
      <c r="F82" s="1" t="str">
        <f>IFERROR(__xludf.DUMMYFUNCTION("""COMPUTED_VALUE"""),"No, not Hispanic or Latino")</f>
        <v>No, not Hispanic or Latino</v>
      </c>
      <c r="G82" s="1" t="str">
        <f>IFERROR(__xludf.DUMMYFUNCTION("""COMPUTED_VALUE"""),"White")</f>
        <v>White</v>
      </c>
      <c r="H82" s="2">
        <f>IFERROR(__xludf.DUMMYFUNCTION("""COMPUTED_VALUE"""),1024.0)</f>
        <v>1024</v>
      </c>
      <c r="I82" s="1" t="str">
        <f>IFERROR(__xludf.DUMMYFUNCTION("""COMPUTED_VALUE"""),"001205")</f>
        <v>001205</v>
      </c>
      <c r="J82" s="3">
        <f>IFERROR(__xludf.DUMMYFUNCTION("""COMPUTED_VALUE"""),45158.0)</f>
        <v>45158</v>
      </c>
    </row>
    <row r="83">
      <c r="A83" s="1" t="str">
        <f>IFERROR(__xludf.DUMMYFUNCTION("""COMPUTED_VALUE"""),"2956524748")</f>
        <v>2956524748</v>
      </c>
      <c r="B83" s="1" t="str">
        <f>IFERROR(__xludf.DUMMYFUNCTION("""COMPUTED_VALUE"""),"Molloy")</f>
        <v>Molloy</v>
      </c>
      <c r="C83" s="1" t="str">
        <f>IFERROR(__xludf.DUMMYFUNCTION("""COMPUTED_VALUE"""),"Daniel")</f>
        <v>Daniel</v>
      </c>
      <c r="D83" s="2">
        <f>IFERROR(__xludf.DUMMYFUNCTION("""COMPUTED_VALUE"""),8.0)</f>
        <v>8</v>
      </c>
      <c r="E83" s="1" t="str">
        <f>IFERROR(__xludf.DUMMYFUNCTION("""COMPUTED_VALUE"""),"M")</f>
        <v>M</v>
      </c>
      <c r="F83" s="1" t="str">
        <f>IFERROR(__xludf.DUMMYFUNCTION("""COMPUTED_VALUE"""),"No, not Hispanic or Latino")</f>
        <v>No, not Hispanic or Latino</v>
      </c>
      <c r="G83" s="1" t="str">
        <f>IFERROR(__xludf.DUMMYFUNCTION("""COMPUTED_VALUE"""),"Samoan")</f>
        <v>Samoan</v>
      </c>
      <c r="H83" s="2">
        <f>IFERROR(__xludf.DUMMYFUNCTION("""COMPUTED_VALUE"""),1024.0)</f>
        <v>1024</v>
      </c>
      <c r="I83" s="1" t="str">
        <f>IFERROR(__xludf.DUMMYFUNCTION("""COMPUTED_VALUE"""),"001205")</f>
        <v>001205</v>
      </c>
      <c r="J83" s="3">
        <f>IFERROR(__xludf.DUMMYFUNCTION("""COMPUTED_VALUE"""),45158.0)</f>
        <v>45158</v>
      </c>
    </row>
    <row r="84">
      <c r="A84" s="1" t="str">
        <f>IFERROR(__xludf.DUMMYFUNCTION("""COMPUTED_VALUE"""),"9226785464")</f>
        <v>9226785464</v>
      </c>
      <c r="B84" s="1" t="str">
        <f>IFERROR(__xludf.DUMMYFUNCTION("""COMPUTED_VALUE"""),"Munson")</f>
        <v>Munson</v>
      </c>
      <c r="C84" s="1" t="str">
        <f>IFERROR(__xludf.DUMMYFUNCTION("""COMPUTED_VALUE"""),"Tilda")</f>
        <v>Tilda</v>
      </c>
      <c r="D84" s="2">
        <f>IFERROR(__xludf.DUMMYFUNCTION("""COMPUTED_VALUE"""),8.0)</f>
        <v>8</v>
      </c>
      <c r="E84" s="1" t="str">
        <f>IFERROR(__xludf.DUMMYFUNCTION("""COMPUTED_VALUE"""),"F")</f>
        <v>F</v>
      </c>
      <c r="F84" s="1" t="str">
        <f>IFERROR(__xludf.DUMMYFUNCTION("""COMPUTED_VALUE"""),"No, not Hispanic or Latino")</f>
        <v>No, not Hispanic or Latino</v>
      </c>
      <c r="G84" s="1" t="str">
        <f>IFERROR(__xludf.DUMMYFUNCTION("""COMPUTED_VALUE"""),"White")</f>
        <v>White</v>
      </c>
      <c r="H84" s="2">
        <f>IFERROR(__xludf.DUMMYFUNCTION("""COMPUTED_VALUE"""),1024.0)</f>
        <v>1024</v>
      </c>
      <c r="I84" s="1" t="str">
        <f>IFERROR(__xludf.DUMMYFUNCTION("""COMPUTED_VALUE"""),"001205")</f>
        <v>001205</v>
      </c>
      <c r="J84" s="3">
        <f>IFERROR(__xludf.DUMMYFUNCTION("""COMPUTED_VALUE"""),45158.0)</f>
        <v>45158</v>
      </c>
    </row>
    <row r="85">
      <c r="A85" s="1" t="str">
        <f>IFERROR(__xludf.DUMMYFUNCTION("""COMPUTED_VALUE"""),"8003964780")</f>
        <v>8003964780</v>
      </c>
      <c r="B85" s="1" t="str">
        <f>IFERROR(__xludf.DUMMYFUNCTION("""COMPUTED_VALUE"""),"Previtali")</f>
        <v>Previtali</v>
      </c>
      <c r="C85" s="1" t="str">
        <f>IFERROR(__xludf.DUMMYFUNCTION("""COMPUTED_VALUE"""),"Oona")</f>
        <v>Oona</v>
      </c>
      <c r="D85" s="2">
        <f>IFERROR(__xludf.DUMMYFUNCTION("""COMPUTED_VALUE"""),8.0)</f>
        <v>8</v>
      </c>
      <c r="E85" s="1" t="str">
        <f>IFERROR(__xludf.DUMMYFUNCTION("""COMPUTED_VALUE"""),"F")</f>
        <v>F</v>
      </c>
      <c r="F85" s="1" t="str">
        <f>IFERROR(__xludf.DUMMYFUNCTION("""COMPUTED_VALUE"""),"No, not Hispanic or Latino")</f>
        <v>No, not Hispanic or Latino</v>
      </c>
      <c r="G85" s="1" t="str">
        <f>IFERROR(__xludf.DUMMYFUNCTION("""COMPUTED_VALUE"""),"White")</f>
        <v>White</v>
      </c>
      <c r="H85" s="2">
        <f>IFERROR(__xludf.DUMMYFUNCTION("""COMPUTED_VALUE"""),1024.0)</f>
        <v>1024</v>
      </c>
      <c r="I85" s="1" t="str">
        <f>IFERROR(__xludf.DUMMYFUNCTION("""COMPUTED_VALUE"""),"001205")</f>
        <v>001205</v>
      </c>
      <c r="J85" s="3">
        <f>IFERROR(__xludf.DUMMYFUNCTION("""COMPUTED_VALUE"""),45158.0)</f>
        <v>45158</v>
      </c>
    </row>
    <row r="86">
      <c r="A86" s="1" t="str">
        <f>IFERROR(__xludf.DUMMYFUNCTION("""COMPUTED_VALUE"""),"4395079315")</f>
        <v>4395079315</v>
      </c>
      <c r="B86" s="1" t="str">
        <f>IFERROR(__xludf.DUMMYFUNCTION("""COMPUTED_VALUE"""),"Ralls")</f>
        <v>Ralls</v>
      </c>
      <c r="C86" s="1" t="str">
        <f>IFERROR(__xludf.DUMMYFUNCTION("""COMPUTED_VALUE"""),"Sasha")</f>
        <v>Sasha</v>
      </c>
      <c r="D86" s="2">
        <f>IFERROR(__xludf.DUMMYFUNCTION("""COMPUTED_VALUE"""),8.0)</f>
        <v>8</v>
      </c>
      <c r="E86" s="1" t="str">
        <f>IFERROR(__xludf.DUMMYFUNCTION("""COMPUTED_VALUE"""),"F")</f>
        <v>F</v>
      </c>
      <c r="F86" s="1" t="str">
        <f>IFERROR(__xludf.DUMMYFUNCTION("""COMPUTED_VALUE"""),"No, not Hispanic or Latino")</f>
        <v>No, not Hispanic or Latino</v>
      </c>
      <c r="G86" s="1" t="str">
        <f>IFERROR(__xludf.DUMMYFUNCTION("""COMPUTED_VALUE"""),"White")</f>
        <v>White</v>
      </c>
      <c r="H86" s="2">
        <f>IFERROR(__xludf.DUMMYFUNCTION("""COMPUTED_VALUE"""),1024.0)</f>
        <v>1024</v>
      </c>
      <c r="I86" s="1" t="str">
        <f>IFERROR(__xludf.DUMMYFUNCTION("""COMPUTED_VALUE"""),"001205")</f>
        <v>001205</v>
      </c>
      <c r="J86" s="3">
        <f>IFERROR(__xludf.DUMMYFUNCTION("""COMPUTED_VALUE"""),45158.0)</f>
        <v>45158</v>
      </c>
    </row>
    <row r="87">
      <c r="A87" s="1" t="str">
        <f>IFERROR(__xludf.DUMMYFUNCTION("""COMPUTED_VALUE"""),"7377862803")</f>
        <v>7377862803</v>
      </c>
      <c r="B87" s="1" t="str">
        <f>IFERROR(__xludf.DUMMYFUNCTION("""COMPUTED_VALUE"""),"Singh")</f>
        <v>Singh</v>
      </c>
      <c r="C87" s="1" t="str">
        <f>IFERROR(__xludf.DUMMYFUNCTION("""COMPUTED_VALUE"""),"Aryaveer")</f>
        <v>Aryaveer</v>
      </c>
      <c r="D87" s="2">
        <f>IFERROR(__xludf.DUMMYFUNCTION("""COMPUTED_VALUE"""),8.0)</f>
        <v>8</v>
      </c>
      <c r="E87" s="1" t="str">
        <f>IFERROR(__xludf.DUMMYFUNCTION("""COMPUTED_VALUE"""),"M")</f>
        <v>M</v>
      </c>
      <c r="F87" s="1" t="str">
        <f>IFERROR(__xludf.DUMMYFUNCTION("""COMPUTED_VALUE"""),"No, not Hispanic or Latino")</f>
        <v>No, not Hispanic or Latino</v>
      </c>
      <c r="G87" s="1" t="str">
        <f>IFERROR(__xludf.DUMMYFUNCTION("""COMPUTED_VALUE"""),"Asian Indian")</f>
        <v>Asian Indian</v>
      </c>
      <c r="H87" s="2">
        <f>IFERROR(__xludf.DUMMYFUNCTION("""COMPUTED_VALUE"""),1024.0)</f>
        <v>1024</v>
      </c>
      <c r="I87" s="1" t="str">
        <f>IFERROR(__xludf.DUMMYFUNCTION("""COMPUTED_VALUE"""),"001205")</f>
        <v>001205</v>
      </c>
      <c r="J87" s="3">
        <f>IFERROR(__xludf.DUMMYFUNCTION("""COMPUTED_VALUE"""),45158.0)</f>
        <v>45158</v>
      </c>
    </row>
    <row r="88">
      <c r="A88" s="1" t="str">
        <f>IFERROR(__xludf.DUMMYFUNCTION("""COMPUTED_VALUE"""),"6118429083")</f>
        <v>6118429083</v>
      </c>
      <c r="B88" s="1" t="str">
        <f>IFERROR(__xludf.DUMMYFUNCTION("""COMPUTED_VALUE"""),"Smith")</f>
        <v>Smith</v>
      </c>
      <c r="C88" s="1" t="str">
        <f>IFERROR(__xludf.DUMMYFUNCTION("""COMPUTED_VALUE"""),"Delaney")</f>
        <v>Delaney</v>
      </c>
      <c r="D88" s="2">
        <f>IFERROR(__xludf.DUMMYFUNCTION("""COMPUTED_VALUE"""),8.0)</f>
        <v>8</v>
      </c>
      <c r="E88" s="1" t="str">
        <f>IFERROR(__xludf.DUMMYFUNCTION("""COMPUTED_VALUE"""),"F")</f>
        <v>F</v>
      </c>
      <c r="F88" s="1" t="str">
        <f>IFERROR(__xludf.DUMMYFUNCTION("""COMPUTED_VALUE"""),"No, not Hispanic or Latino")</f>
        <v>No, not Hispanic or Latino</v>
      </c>
      <c r="G88" s="1" t="str">
        <f>IFERROR(__xludf.DUMMYFUNCTION("""COMPUTED_VALUE"""),"White")</f>
        <v>White</v>
      </c>
      <c r="H88" s="2">
        <f>IFERROR(__xludf.DUMMYFUNCTION("""COMPUTED_VALUE"""),1024.0)</f>
        <v>1024</v>
      </c>
      <c r="I88" s="1" t="str">
        <f>IFERROR(__xludf.DUMMYFUNCTION("""COMPUTED_VALUE"""),"001205")</f>
        <v>001205</v>
      </c>
      <c r="J88" s="3">
        <f>IFERROR(__xludf.DUMMYFUNCTION("""COMPUTED_VALUE"""),45158.0)</f>
        <v>45158</v>
      </c>
    </row>
    <row r="89">
      <c r="A89" s="1" t="str">
        <f>IFERROR(__xludf.DUMMYFUNCTION("""COMPUTED_VALUE"""),"2272691597")</f>
        <v>2272691597</v>
      </c>
      <c r="B89" s="1" t="str">
        <f>IFERROR(__xludf.DUMMYFUNCTION("""COMPUTED_VALUE"""),"Snekkevik")</f>
        <v>Snekkevik</v>
      </c>
      <c r="C89" s="1" t="str">
        <f>IFERROR(__xludf.DUMMYFUNCTION("""COMPUTED_VALUE"""),"Eric")</f>
        <v>Eric</v>
      </c>
      <c r="D89" s="2">
        <f>IFERROR(__xludf.DUMMYFUNCTION("""COMPUTED_VALUE"""),7.0)</f>
        <v>7</v>
      </c>
      <c r="E89" s="1" t="str">
        <f>IFERROR(__xludf.DUMMYFUNCTION("""COMPUTED_VALUE"""),"M")</f>
        <v>M</v>
      </c>
      <c r="F89" s="1" t="str">
        <f>IFERROR(__xludf.DUMMYFUNCTION("""COMPUTED_VALUE"""),"No, not Hispanic or Latino")</f>
        <v>No, not Hispanic or Latino</v>
      </c>
      <c r="G89" s="1" t="str">
        <f>IFERROR(__xludf.DUMMYFUNCTION("""COMPUTED_VALUE"""),"White")</f>
        <v>White</v>
      </c>
      <c r="H89" s="2">
        <f>IFERROR(__xludf.DUMMYFUNCTION("""COMPUTED_VALUE"""),1024.0)</f>
        <v>1024</v>
      </c>
      <c r="I89" s="1" t="str">
        <f>IFERROR(__xludf.DUMMYFUNCTION("""COMPUTED_VALUE"""),"001205")</f>
        <v>001205</v>
      </c>
      <c r="J89" s="3">
        <f>IFERROR(__xludf.DUMMYFUNCTION("""COMPUTED_VALUE"""),45158.0)</f>
        <v>45158</v>
      </c>
    </row>
    <row r="90">
      <c r="A90" s="1" t="str">
        <f>IFERROR(__xludf.DUMMYFUNCTION("""COMPUTED_VALUE"""),"6965508161")</f>
        <v>6965508161</v>
      </c>
      <c r="B90" s="1" t="str">
        <f>IFERROR(__xludf.DUMMYFUNCTION("""COMPUTED_VALUE"""),"Snekkevik")</f>
        <v>Snekkevik</v>
      </c>
      <c r="C90" s="1" t="str">
        <f>IFERROR(__xludf.DUMMYFUNCTION("""COMPUTED_VALUE"""),"Jakob")</f>
        <v>Jakob</v>
      </c>
      <c r="D90" s="2">
        <f>IFERROR(__xludf.DUMMYFUNCTION("""COMPUTED_VALUE"""),7.0)</f>
        <v>7</v>
      </c>
      <c r="E90" s="1" t="str">
        <f>IFERROR(__xludf.DUMMYFUNCTION("""COMPUTED_VALUE"""),"M")</f>
        <v>M</v>
      </c>
      <c r="F90" s="1" t="str">
        <f>IFERROR(__xludf.DUMMYFUNCTION("""COMPUTED_VALUE"""),"No, not Hispanic or Latino")</f>
        <v>No, not Hispanic or Latino</v>
      </c>
      <c r="G90" s="1" t="str">
        <f>IFERROR(__xludf.DUMMYFUNCTION("""COMPUTED_VALUE"""),"White")</f>
        <v>White</v>
      </c>
      <c r="H90" s="2">
        <f>IFERROR(__xludf.DUMMYFUNCTION("""COMPUTED_VALUE"""),1024.0)</f>
        <v>1024</v>
      </c>
      <c r="I90" s="1" t="str">
        <f>IFERROR(__xludf.DUMMYFUNCTION("""COMPUTED_VALUE"""),"001205")</f>
        <v>001205</v>
      </c>
      <c r="J90" s="3">
        <f>IFERROR(__xludf.DUMMYFUNCTION("""COMPUTED_VALUE"""),45158.0)</f>
        <v>45158</v>
      </c>
    </row>
    <row r="91">
      <c r="A91" s="1" t="str">
        <f>IFERROR(__xludf.DUMMYFUNCTION("""COMPUTED_VALUE"""),"3925237195")</f>
        <v>3925237195</v>
      </c>
      <c r="B91" s="1" t="str">
        <f>IFERROR(__xludf.DUMMYFUNCTION("""COMPUTED_VALUE"""),"Troy")</f>
        <v>Troy</v>
      </c>
      <c r="C91" s="1" t="str">
        <f>IFERROR(__xludf.DUMMYFUNCTION("""COMPUTED_VALUE"""),"Madison")</f>
        <v>Madison</v>
      </c>
      <c r="D91" s="2">
        <f>IFERROR(__xludf.DUMMYFUNCTION("""COMPUTED_VALUE"""),7.0)</f>
        <v>7</v>
      </c>
      <c r="E91" s="1" t="str">
        <f>IFERROR(__xludf.DUMMYFUNCTION("""COMPUTED_VALUE"""),"F")</f>
        <v>F</v>
      </c>
      <c r="F91" s="1" t="str">
        <f>IFERROR(__xludf.DUMMYFUNCTION("""COMPUTED_VALUE"""),"No, not Hispanic or Latino")</f>
        <v>No, not Hispanic or Latino</v>
      </c>
      <c r="G91" s="1" t="str">
        <f>IFERROR(__xludf.DUMMYFUNCTION("""COMPUTED_VALUE"""),"White")</f>
        <v>White</v>
      </c>
      <c r="H91" s="2">
        <f>IFERROR(__xludf.DUMMYFUNCTION("""COMPUTED_VALUE"""),1024.0)</f>
        <v>1024</v>
      </c>
      <c r="I91" s="1" t="str">
        <f>IFERROR(__xludf.DUMMYFUNCTION("""COMPUTED_VALUE"""),"001205")</f>
        <v>001205</v>
      </c>
      <c r="J91" s="3">
        <f>IFERROR(__xludf.DUMMYFUNCTION("""COMPUTED_VALUE"""),45158.0)</f>
        <v>45158</v>
      </c>
    </row>
    <row r="92">
      <c r="A92" s="1" t="str">
        <f>IFERROR(__xludf.DUMMYFUNCTION("""COMPUTED_VALUE"""),"1150682455")</f>
        <v>1150682455</v>
      </c>
      <c r="B92" s="1" t="str">
        <f>IFERROR(__xludf.DUMMYFUNCTION("""COMPUTED_VALUE"""),"Vila-Garcia")</f>
        <v>Vila-Garcia</v>
      </c>
      <c r="C92" s="1" t="str">
        <f>IFERROR(__xludf.DUMMYFUNCTION("""COMPUTED_VALUE"""),"Metzi")</f>
        <v>Metzi</v>
      </c>
      <c r="D92" s="2">
        <f>IFERROR(__xludf.DUMMYFUNCTION("""COMPUTED_VALUE"""),7.0)</f>
        <v>7</v>
      </c>
      <c r="E92" s="1" t="str">
        <f>IFERROR(__xludf.DUMMYFUNCTION("""COMPUTED_VALUE"""),"F")</f>
        <v>F</v>
      </c>
      <c r="F92" s="1" t="str">
        <f>IFERROR(__xludf.DUMMYFUNCTION("""COMPUTED_VALUE"""),"Yes, Hispanic or Latino")</f>
        <v>Yes, Hispanic or Latino</v>
      </c>
      <c r="G92" s="1" t="str">
        <f>IFERROR(__xludf.DUMMYFUNCTION("""COMPUTED_VALUE"""),"White")</f>
        <v>White</v>
      </c>
      <c r="H92" s="2">
        <f>IFERROR(__xludf.DUMMYFUNCTION("""COMPUTED_VALUE"""),1024.0)</f>
        <v>1024</v>
      </c>
      <c r="I92" s="1" t="str">
        <f>IFERROR(__xludf.DUMMYFUNCTION("""COMPUTED_VALUE"""),"001205")</f>
        <v>001205</v>
      </c>
      <c r="J92" s="3">
        <f>IFERROR(__xludf.DUMMYFUNCTION("""COMPUTED_VALUE"""),45158.0)</f>
        <v>45158</v>
      </c>
    </row>
    <row r="93">
      <c r="A93" s="1" t="str">
        <f>IFERROR(__xludf.DUMMYFUNCTION("""COMPUTED_VALUE"""),"7056851646")</f>
        <v>7056851646</v>
      </c>
      <c r="B93" s="1" t="str">
        <f>IFERROR(__xludf.DUMMYFUNCTION("""COMPUTED_VALUE"""),"Vilar")</f>
        <v>Vilar</v>
      </c>
      <c r="C93" s="1" t="str">
        <f>IFERROR(__xludf.DUMMYFUNCTION("""COMPUTED_VALUE"""),"Paula")</f>
        <v>Paula</v>
      </c>
      <c r="D93" s="2">
        <f>IFERROR(__xludf.DUMMYFUNCTION("""COMPUTED_VALUE"""),7.0)</f>
        <v>7</v>
      </c>
      <c r="E93" s="1" t="str">
        <f>IFERROR(__xludf.DUMMYFUNCTION("""COMPUTED_VALUE"""),"F")</f>
        <v>F</v>
      </c>
      <c r="F93" s="1" t="str">
        <f>IFERROR(__xludf.DUMMYFUNCTION("""COMPUTED_VALUE"""),"No, not Hispanic or Latino")</f>
        <v>No, not Hispanic or Latino</v>
      </c>
      <c r="G93" s="1" t="str">
        <f>IFERROR(__xludf.DUMMYFUNCTION("""COMPUTED_VALUE"""),"White")</f>
        <v>White</v>
      </c>
      <c r="H93" s="2">
        <f>IFERROR(__xludf.DUMMYFUNCTION("""COMPUTED_VALUE"""),1024.0)</f>
        <v>1024</v>
      </c>
      <c r="I93" s="1" t="str">
        <f>IFERROR(__xludf.DUMMYFUNCTION("""COMPUTED_VALUE"""),"001205")</f>
        <v>001205</v>
      </c>
      <c r="J93" s="3">
        <f>IFERROR(__xludf.DUMMYFUNCTION("""COMPUTED_VALUE"""),45158.0)</f>
        <v>45158</v>
      </c>
    </row>
    <row r="94">
      <c r="A94" s="1" t="str">
        <f>IFERROR(__xludf.DUMMYFUNCTION("""COMPUTED_VALUE"""),"8995124237")</f>
        <v>8995124237</v>
      </c>
      <c r="B94" s="1" t="str">
        <f>IFERROR(__xludf.DUMMYFUNCTION("""COMPUTED_VALUE"""),"Vree")</f>
        <v>Vree</v>
      </c>
      <c r="C94" s="1" t="str">
        <f>IFERROR(__xludf.DUMMYFUNCTION("""COMPUTED_VALUE"""),"William")</f>
        <v>William</v>
      </c>
      <c r="D94" s="2">
        <f>IFERROR(__xludf.DUMMYFUNCTION("""COMPUTED_VALUE"""),8.0)</f>
        <v>8</v>
      </c>
      <c r="E94" s="1" t="str">
        <f>IFERROR(__xludf.DUMMYFUNCTION("""COMPUTED_VALUE"""),"M")</f>
        <v>M</v>
      </c>
      <c r="F94" s="1" t="str">
        <f>IFERROR(__xludf.DUMMYFUNCTION("""COMPUTED_VALUE"""),"No, not Hispanic or Latino")</f>
        <v>No, not Hispanic or Latino</v>
      </c>
      <c r="G94" s="1" t="str">
        <f>IFERROR(__xludf.DUMMYFUNCTION("""COMPUTED_VALUE"""),"White")</f>
        <v>White</v>
      </c>
      <c r="H94" s="2">
        <f>IFERROR(__xludf.DUMMYFUNCTION("""COMPUTED_VALUE"""),1024.0)</f>
        <v>1024</v>
      </c>
      <c r="I94" s="1" t="str">
        <f>IFERROR(__xludf.DUMMYFUNCTION("""COMPUTED_VALUE"""),"001205")</f>
        <v>001205</v>
      </c>
      <c r="J94" s="3">
        <f>IFERROR(__xludf.DUMMYFUNCTION("""COMPUTED_VALUE"""),45158.0)</f>
        <v>45158</v>
      </c>
    </row>
    <row r="95">
      <c r="A95" s="1" t="str">
        <f>IFERROR(__xludf.DUMMYFUNCTION("""COMPUTED_VALUE"""),"3159271271")</f>
        <v>3159271271</v>
      </c>
      <c r="B95" s="1" t="str">
        <f>IFERROR(__xludf.DUMMYFUNCTION("""COMPUTED_VALUE"""),"Albrecht")</f>
        <v>Albrecht</v>
      </c>
      <c r="C95" s="1" t="str">
        <f>IFERROR(__xludf.DUMMYFUNCTION("""COMPUTED_VALUE"""),"Thomas")</f>
        <v>Thomas</v>
      </c>
      <c r="D95" s="2">
        <f>IFERROR(__xludf.DUMMYFUNCTION("""COMPUTED_VALUE"""),8.0)</f>
        <v>8</v>
      </c>
      <c r="E95" s="1" t="str">
        <f>IFERROR(__xludf.DUMMYFUNCTION("""COMPUTED_VALUE"""),"M")</f>
        <v>M</v>
      </c>
      <c r="F95" s="1" t="str">
        <f>IFERROR(__xludf.DUMMYFUNCTION("""COMPUTED_VALUE"""),"No, not Hispanic or Latino")</f>
        <v>No, not Hispanic or Latino</v>
      </c>
      <c r="G95" s="1" t="str">
        <f>IFERROR(__xludf.DUMMYFUNCTION("""COMPUTED_VALUE"""),"White")</f>
        <v>White</v>
      </c>
      <c r="H95" s="2">
        <f>IFERROR(__xludf.DUMMYFUNCTION("""COMPUTED_VALUE"""),1042.0)</f>
        <v>1042</v>
      </c>
      <c r="I95" s="1" t="str">
        <f>IFERROR(__xludf.DUMMYFUNCTION("""COMPUTED_VALUE"""),"001205")</f>
        <v>001205</v>
      </c>
      <c r="J95" s="3">
        <f>IFERROR(__xludf.DUMMYFUNCTION("""COMPUTED_VALUE"""),45524.0)</f>
        <v>45524</v>
      </c>
    </row>
    <row r="96">
      <c r="A96" s="1" t="str">
        <f>IFERROR(__xludf.DUMMYFUNCTION("""COMPUTED_VALUE"""),"1601597327")</f>
        <v>1601597327</v>
      </c>
      <c r="B96" s="1" t="str">
        <f>IFERROR(__xludf.DUMMYFUNCTION("""COMPUTED_VALUE"""),"Atnip")</f>
        <v>Atnip</v>
      </c>
      <c r="C96" s="1" t="str">
        <f>IFERROR(__xludf.DUMMYFUNCTION("""COMPUTED_VALUE"""),"Brooke")</f>
        <v>Brooke</v>
      </c>
      <c r="D96" s="2">
        <f>IFERROR(__xludf.DUMMYFUNCTION("""COMPUTED_VALUE"""),7.0)</f>
        <v>7</v>
      </c>
      <c r="E96" s="1" t="str">
        <f>IFERROR(__xludf.DUMMYFUNCTION("""COMPUTED_VALUE"""),"F")</f>
        <v>F</v>
      </c>
      <c r="F96" s="1" t="str">
        <f>IFERROR(__xludf.DUMMYFUNCTION("""COMPUTED_VALUE"""),"No, not Hispanic or Latino")</f>
        <v>No, not Hispanic or Latino</v>
      </c>
      <c r="G96" s="1" t="str">
        <f>IFERROR(__xludf.DUMMYFUNCTION("""COMPUTED_VALUE"""),"White")</f>
        <v>White</v>
      </c>
      <c r="H96" s="2">
        <f>IFERROR(__xludf.DUMMYFUNCTION("""COMPUTED_VALUE"""),1041.0)</f>
        <v>1041</v>
      </c>
      <c r="I96" s="1" t="str">
        <f>IFERROR(__xludf.DUMMYFUNCTION("""COMPUTED_VALUE"""),"001205")</f>
        <v>001205</v>
      </c>
      <c r="J96" s="3">
        <f>IFERROR(__xludf.DUMMYFUNCTION("""COMPUTED_VALUE"""),45524.0)</f>
        <v>45524</v>
      </c>
    </row>
    <row r="97">
      <c r="A97" s="1" t="str">
        <f>IFERROR(__xludf.DUMMYFUNCTION("""COMPUTED_VALUE"""),"9689604491")</f>
        <v>9689604491</v>
      </c>
      <c r="B97" s="1" t="str">
        <f>IFERROR(__xludf.DUMMYFUNCTION("""COMPUTED_VALUE"""),"Brill")</f>
        <v>Brill</v>
      </c>
      <c r="C97" s="1" t="str">
        <f>IFERROR(__xludf.DUMMYFUNCTION("""COMPUTED_VALUE"""),"Harper")</f>
        <v>Harper</v>
      </c>
      <c r="D97" s="2">
        <f>IFERROR(__xludf.DUMMYFUNCTION("""COMPUTED_VALUE"""),8.0)</f>
        <v>8</v>
      </c>
      <c r="E97" s="1" t="str">
        <f>IFERROR(__xludf.DUMMYFUNCTION("""COMPUTED_VALUE"""),"F")</f>
        <v>F</v>
      </c>
      <c r="F97" s="1" t="str">
        <f>IFERROR(__xludf.DUMMYFUNCTION("""COMPUTED_VALUE"""),"No, not Hispanic or Latino")</f>
        <v>No, not Hispanic or Latino</v>
      </c>
      <c r="G97" s="1" t="str">
        <f>IFERROR(__xludf.DUMMYFUNCTION("""COMPUTED_VALUE"""),"White")</f>
        <v>White</v>
      </c>
      <c r="H97" s="2">
        <f>IFERROR(__xludf.DUMMYFUNCTION("""COMPUTED_VALUE"""),1042.0)</f>
        <v>1042</v>
      </c>
      <c r="I97" s="1" t="str">
        <f>IFERROR(__xludf.DUMMYFUNCTION("""COMPUTED_VALUE"""),"001205")</f>
        <v>001205</v>
      </c>
      <c r="J97" s="3">
        <f>IFERROR(__xludf.DUMMYFUNCTION("""COMPUTED_VALUE"""),45524.0)</f>
        <v>45524</v>
      </c>
    </row>
    <row r="98">
      <c r="A98" s="1" t="str">
        <f>IFERROR(__xludf.DUMMYFUNCTION("""COMPUTED_VALUE"""),"2100259675")</f>
        <v>2100259675</v>
      </c>
      <c r="B98" s="1" t="str">
        <f>IFERROR(__xludf.DUMMYFUNCTION("""COMPUTED_VALUE"""),"Burgon")</f>
        <v>Burgon</v>
      </c>
      <c r="C98" s="1" t="str">
        <f>IFERROR(__xludf.DUMMYFUNCTION("""COMPUTED_VALUE"""),"Cate")</f>
        <v>Cate</v>
      </c>
      <c r="D98" s="2">
        <f>IFERROR(__xludf.DUMMYFUNCTION("""COMPUTED_VALUE"""),7.0)</f>
        <v>7</v>
      </c>
      <c r="E98" s="1" t="str">
        <f>IFERROR(__xludf.DUMMYFUNCTION("""COMPUTED_VALUE"""),"F")</f>
        <v>F</v>
      </c>
      <c r="F98" s="1" t="str">
        <f>IFERROR(__xludf.DUMMYFUNCTION("""COMPUTED_VALUE"""),"No, not Hispanic or Latino")</f>
        <v>No, not Hispanic or Latino</v>
      </c>
      <c r="G98" s="1" t="str">
        <f>IFERROR(__xludf.DUMMYFUNCTION("""COMPUTED_VALUE"""),"White")</f>
        <v>White</v>
      </c>
      <c r="H98" s="2">
        <f>IFERROR(__xludf.DUMMYFUNCTION("""COMPUTED_VALUE"""),1041.0)</f>
        <v>1041</v>
      </c>
      <c r="I98" s="1" t="str">
        <f>IFERROR(__xludf.DUMMYFUNCTION("""COMPUTED_VALUE"""),"001205")</f>
        <v>001205</v>
      </c>
      <c r="J98" s="3">
        <f>IFERROR(__xludf.DUMMYFUNCTION("""COMPUTED_VALUE"""),45524.0)</f>
        <v>45524</v>
      </c>
    </row>
    <row r="99">
      <c r="A99" s="1" t="str">
        <f>IFERROR(__xludf.DUMMYFUNCTION("""COMPUTED_VALUE"""),"5036876695")</f>
        <v>5036876695</v>
      </c>
      <c r="B99" s="1" t="str">
        <f>IFERROR(__xludf.DUMMYFUNCTION("""COMPUTED_VALUE"""),"Callahan")</f>
        <v>Callahan</v>
      </c>
      <c r="C99" s="1" t="str">
        <f>IFERROR(__xludf.DUMMYFUNCTION("""COMPUTED_VALUE"""),"Liam")</f>
        <v>Liam</v>
      </c>
      <c r="D99" s="2">
        <f>IFERROR(__xludf.DUMMYFUNCTION("""COMPUTED_VALUE"""),8.0)</f>
        <v>8</v>
      </c>
      <c r="E99" s="1" t="str">
        <f>IFERROR(__xludf.DUMMYFUNCTION("""COMPUTED_VALUE"""),"M")</f>
        <v>M</v>
      </c>
      <c r="F99" s="1" t="str">
        <f>IFERROR(__xludf.DUMMYFUNCTION("""COMPUTED_VALUE"""),"No, not Hispanic or Latino")</f>
        <v>No, not Hispanic or Latino</v>
      </c>
      <c r="G99" s="1" t="str">
        <f>IFERROR(__xludf.DUMMYFUNCTION("""COMPUTED_VALUE"""),"White")</f>
        <v>White</v>
      </c>
      <c r="H99" s="2">
        <f>IFERROR(__xludf.DUMMYFUNCTION("""COMPUTED_VALUE"""),1041.0)</f>
        <v>1041</v>
      </c>
      <c r="I99" s="1" t="str">
        <f>IFERROR(__xludf.DUMMYFUNCTION("""COMPUTED_VALUE"""),"001205")</f>
        <v>001205</v>
      </c>
      <c r="J99" s="3">
        <f>IFERROR(__xludf.DUMMYFUNCTION("""COMPUTED_VALUE"""),45524.0)</f>
        <v>45524</v>
      </c>
    </row>
    <row r="100">
      <c r="A100" s="1" t="str">
        <f>IFERROR(__xludf.DUMMYFUNCTION("""COMPUTED_VALUE"""),"8015110233")</f>
        <v>8015110233</v>
      </c>
      <c r="B100" s="1" t="str">
        <f>IFERROR(__xludf.DUMMYFUNCTION("""COMPUTED_VALUE"""),"Chavez")</f>
        <v>Chavez</v>
      </c>
      <c r="C100" s="1" t="str">
        <f>IFERROR(__xludf.DUMMYFUNCTION("""COMPUTED_VALUE"""),"Emily")</f>
        <v>Emily</v>
      </c>
      <c r="D100" s="2">
        <f>IFERROR(__xludf.DUMMYFUNCTION("""COMPUTED_VALUE"""),8.0)</f>
        <v>8</v>
      </c>
      <c r="E100" s="1" t="str">
        <f>IFERROR(__xludf.DUMMYFUNCTION("""COMPUTED_VALUE"""),"F")</f>
        <v>F</v>
      </c>
      <c r="F100" s="1" t="str">
        <f>IFERROR(__xludf.DUMMYFUNCTION("""COMPUTED_VALUE"""),"Yes, Hispanic or Latino")</f>
        <v>Yes, Hispanic or Latino</v>
      </c>
      <c r="G100" s="1" t="str">
        <f>IFERROR(__xludf.DUMMYFUNCTION("""COMPUTED_VALUE"""),"White")</f>
        <v>White</v>
      </c>
      <c r="H100" s="2">
        <f>IFERROR(__xludf.DUMMYFUNCTION("""COMPUTED_VALUE"""),1041.0)</f>
        <v>1041</v>
      </c>
      <c r="I100" s="1" t="str">
        <f>IFERROR(__xludf.DUMMYFUNCTION("""COMPUTED_VALUE"""),"001205")</f>
        <v>001205</v>
      </c>
      <c r="J100" s="3">
        <f>IFERROR(__xludf.DUMMYFUNCTION("""COMPUTED_VALUE"""),45524.0)</f>
        <v>45524</v>
      </c>
    </row>
    <row r="101">
      <c r="A101" s="1" t="str">
        <f>IFERROR(__xludf.DUMMYFUNCTION("""COMPUTED_VALUE"""),"2016291082")</f>
        <v>2016291082</v>
      </c>
      <c r="B101" s="1" t="str">
        <f>IFERROR(__xludf.DUMMYFUNCTION("""COMPUTED_VALUE"""),"Chew")</f>
        <v>Chew</v>
      </c>
      <c r="C101" s="1" t="str">
        <f>IFERROR(__xludf.DUMMYFUNCTION("""COMPUTED_VALUE"""),"Zoey")</f>
        <v>Zoey</v>
      </c>
      <c r="D101" s="2">
        <f>IFERROR(__xludf.DUMMYFUNCTION("""COMPUTED_VALUE"""),8.0)</f>
        <v>8</v>
      </c>
      <c r="E101" s="1" t="str">
        <f>IFERROR(__xludf.DUMMYFUNCTION("""COMPUTED_VALUE"""),"F")</f>
        <v>F</v>
      </c>
      <c r="F101" s="1" t="str">
        <f>IFERROR(__xludf.DUMMYFUNCTION("""COMPUTED_VALUE"""),"No, not Hispanic or Latino")</f>
        <v>No, not Hispanic or Latino</v>
      </c>
      <c r="G101" s="1" t="str">
        <f>IFERROR(__xludf.DUMMYFUNCTION("""COMPUTED_VALUE"""),"Chinese")</f>
        <v>Chinese</v>
      </c>
      <c r="H101" s="2">
        <f>IFERROR(__xludf.DUMMYFUNCTION("""COMPUTED_VALUE"""),1041.0)</f>
        <v>1041</v>
      </c>
      <c r="I101" s="1" t="str">
        <f>IFERROR(__xludf.DUMMYFUNCTION("""COMPUTED_VALUE"""),"001205")</f>
        <v>001205</v>
      </c>
      <c r="J101" s="3">
        <f>IFERROR(__xludf.DUMMYFUNCTION("""COMPUTED_VALUE"""),45524.0)</f>
        <v>45524</v>
      </c>
    </row>
    <row r="102">
      <c r="A102" s="1" t="str">
        <f>IFERROR(__xludf.DUMMYFUNCTION("""COMPUTED_VALUE"""),"7684378323")</f>
        <v>7684378323</v>
      </c>
      <c r="B102" s="1" t="str">
        <f>IFERROR(__xludf.DUMMYFUNCTION("""COMPUTED_VALUE"""),"Crowe-Carsola")</f>
        <v>Crowe-Carsola</v>
      </c>
      <c r="C102" s="1" t="str">
        <f>IFERROR(__xludf.DUMMYFUNCTION("""COMPUTED_VALUE"""),"Kai")</f>
        <v>Kai</v>
      </c>
      <c r="D102" s="2">
        <f>IFERROR(__xludf.DUMMYFUNCTION("""COMPUTED_VALUE"""),8.0)</f>
        <v>8</v>
      </c>
      <c r="E102" s="1" t="str">
        <f>IFERROR(__xludf.DUMMYFUNCTION("""COMPUTED_VALUE"""),"M")</f>
        <v>M</v>
      </c>
      <c r="F102" s="1" t="str">
        <f>IFERROR(__xludf.DUMMYFUNCTION("""COMPUTED_VALUE"""),"Yes, Hispanic or Latino")</f>
        <v>Yes, Hispanic or Latino</v>
      </c>
      <c r="G102" s="1" t="str">
        <f>IFERROR(__xludf.DUMMYFUNCTION("""COMPUTED_VALUE"""),"Filipino")</f>
        <v>Filipino</v>
      </c>
      <c r="H102" s="2">
        <f>IFERROR(__xludf.DUMMYFUNCTION("""COMPUTED_VALUE"""),1042.0)</f>
        <v>1042</v>
      </c>
      <c r="I102" s="1" t="str">
        <f>IFERROR(__xludf.DUMMYFUNCTION("""COMPUTED_VALUE"""),"001205")</f>
        <v>001205</v>
      </c>
      <c r="J102" s="3">
        <f>IFERROR(__xludf.DUMMYFUNCTION("""COMPUTED_VALUE"""),45524.0)</f>
        <v>45524</v>
      </c>
    </row>
    <row r="103">
      <c r="A103" s="1" t="str">
        <f>IFERROR(__xludf.DUMMYFUNCTION("""COMPUTED_VALUE"""),"4627387113")</f>
        <v>4627387113</v>
      </c>
      <c r="B103" s="1" t="str">
        <f>IFERROR(__xludf.DUMMYFUNCTION("""COMPUTED_VALUE"""),"Cullen")</f>
        <v>Cullen</v>
      </c>
      <c r="C103" s="1" t="str">
        <f>IFERROR(__xludf.DUMMYFUNCTION("""COMPUTED_VALUE"""),"Finn")</f>
        <v>Finn</v>
      </c>
      <c r="D103" s="2">
        <f>IFERROR(__xludf.DUMMYFUNCTION("""COMPUTED_VALUE"""),8.0)</f>
        <v>8</v>
      </c>
      <c r="E103" s="1" t="str">
        <f>IFERROR(__xludf.DUMMYFUNCTION("""COMPUTED_VALUE"""),"M")</f>
        <v>M</v>
      </c>
      <c r="F103" s="1" t="str">
        <f>IFERROR(__xludf.DUMMYFUNCTION("""COMPUTED_VALUE"""),"No, not Hispanic or Latino")</f>
        <v>No, not Hispanic or Latino</v>
      </c>
      <c r="G103" s="1" t="str">
        <f>IFERROR(__xludf.DUMMYFUNCTION("""COMPUTED_VALUE"""),"White")</f>
        <v>White</v>
      </c>
      <c r="H103" s="2">
        <f>IFERROR(__xludf.DUMMYFUNCTION("""COMPUTED_VALUE"""),1041.0)</f>
        <v>1041</v>
      </c>
      <c r="I103" s="1" t="str">
        <f>IFERROR(__xludf.DUMMYFUNCTION("""COMPUTED_VALUE"""),"001205")</f>
        <v>001205</v>
      </c>
      <c r="J103" s="3">
        <f>IFERROR(__xludf.DUMMYFUNCTION("""COMPUTED_VALUE"""),45524.0)</f>
        <v>45524</v>
      </c>
    </row>
    <row r="104">
      <c r="A104" s="1" t="str">
        <f>IFERROR(__xludf.DUMMYFUNCTION("""COMPUTED_VALUE"""),"4070947937")</f>
        <v>4070947937</v>
      </c>
      <c r="B104" s="1" t="str">
        <f>IFERROR(__xludf.DUMMYFUNCTION("""COMPUTED_VALUE"""),"Daabul")</f>
        <v>Daabul</v>
      </c>
      <c r="C104" s="1" t="str">
        <f>IFERROR(__xludf.DUMMYFUNCTION("""COMPUTED_VALUE"""),"Shira")</f>
        <v>Shira</v>
      </c>
      <c r="D104" s="2">
        <f>IFERROR(__xludf.DUMMYFUNCTION("""COMPUTED_VALUE"""),7.0)</f>
        <v>7</v>
      </c>
      <c r="E104" s="1" t="str">
        <f>IFERROR(__xludf.DUMMYFUNCTION("""COMPUTED_VALUE"""),"F")</f>
        <v>F</v>
      </c>
      <c r="F104" s="1" t="str">
        <f>IFERROR(__xludf.DUMMYFUNCTION("""COMPUTED_VALUE"""),"No, not Hispanic or Latino")</f>
        <v>No, not Hispanic or Latino</v>
      </c>
      <c r="G104" s="1" t="str">
        <f>IFERROR(__xludf.DUMMYFUNCTION("""COMPUTED_VALUE"""),"Other Asian")</f>
        <v>Other Asian</v>
      </c>
      <c r="H104" s="2">
        <f>IFERROR(__xludf.DUMMYFUNCTION("""COMPUTED_VALUE"""),1042.0)</f>
        <v>1042</v>
      </c>
      <c r="I104" s="1" t="str">
        <f>IFERROR(__xludf.DUMMYFUNCTION("""COMPUTED_VALUE"""),"001205")</f>
        <v>001205</v>
      </c>
      <c r="J104" s="3">
        <f>IFERROR(__xludf.DUMMYFUNCTION("""COMPUTED_VALUE"""),45524.0)</f>
        <v>45524</v>
      </c>
    </row>
    <row r="105">
      <c r="A105" s="1" t="str">
        <f>IFERROR(__xludf.DUMMYFUNCTION("""COMPUTED_VALUE"""),"3549169574")</f>
        <v>3549169574</v>
      </c>
      <c r="B105" s="1" t="str">
        <f>IFERROR(__xludf.DUMMYFUNCTION("""COMPUTED_VALUE"""),"Demartini")</f>
        <v>Demartini</v>
      </c>
      <c r="C105" s="1" t="str">
        <f>IFERROR(__xludf.DUMMYFUNCTION("""COMPUTED_VALUE"""),"Mark")</f>
        <v>Mark</v>
      </c>
      <c r="D105" s="2">
        <f>IFERROR(__xludf.DUMMYFUNCTION("""COMPUTED_VALUE"""),8.0)</f>
        <v>8</v>
      </c>
      <c r="E105" s="1" t="str">
        <f>IFERROR(__xludf.DUMMYFUNCTION("""COMPUTED_VALUE"""),"M")</f>
        <v>M</v>
      </c>
      <c r="F105" s="1" t="str">
        <f>IFERROR(__xludf.DUMMYFUNCTION("""COMPUTED_VALUE"""),"No, not Hispanic or Latino")</f>
        <v>No, not Hispanic or Latino</v>
      </c>
      <c r="G105" s="1" t="str">
        <f>IFERROR(__xludf.DUMMYFUNCTION("""COMPUTED_VALUE"""),"White")</f>
        <v>White</v>
      </c>
      <c r="H105" s="2">
        <f>IFERROR(__xludf.DUMMYFUNCTION("""COMPUTED_VALUE"""),1041.0)</f>
        <v>1041</v>
      </c>
      <c r="I105" s="1" t="str">
        <f>IFERROR(__xludf.DUMMYFUNCTION("""COMPUTED_VALUE"""),"001205")</f>
        <v>001205</v>
      </c>
      <c r="J105" s="3">
        <f>IFERROR(__xludf.DUMMYFUNCTION("""COMPUTED_VALUE"""),45524.0)</f>
        <v>45524</v>
      </c>
    </row>
    <row r="106">
      <c r="A106" s="1" t="str">
        <f>IFERROR(__xludf.DUMMYFUNCTION("""COMPUTED_VALUE"""),"6958389284")</f>
        <v>6958389284</v>
      </c>
      <c r="B106" s="1" t="str">
        <f>IFERROR(__xludf.DUMMYFUNCTION("""COMPUTED_VALUE"""),"Dempsey")</f>
        <v>Dempsey</v>
      </c>
      <c r="C106" s="1" t="str">
        <f>IFERROR(__xludf.DUMMYFUNCTION("""COMPUTED_VALUE"""),"Layla")</f>
        <v>Layla</v>
      </c>
      <c r="D106" s="2">
        <f>IFERROR(__xludf.DUMMYFUNCTION("""COMPUTED_VALUE"""),8.0)</f>
        <v>8</v>
      </c>
      <c r="E106" s="1" t="str">
        <f>IFERROR(__xludf.DUMMYFUNCTION("""COMPUTED_VALUE"""),"F")</f>
        <v>F</v>
      </c>
      <c r="F106" s="1" t="str">
        <f>IFERROR(__xludf.DUMMYFUNCTION("""COMPUTED_VALUE"""),"Yes, Hispanic or Latino")</f>
        <v>Yes, Hispanic or Latino</v>
      </c>
      <c r="G106" s="1" t="str">
        <f>IFERROR(__xludf.DUMMYFUNCTION("""COMPUTED_VALUE"""),"White")</f>
        <v>White</v>
      </c>
      <c r="H106" s="2">
        <f>IFERROR(__xludf.DUMMYFUNCTION("""COMPUTED_VALUE"""),1042.0)</f>
        <v>1042</v>
      </c>
      <c r="I106" s="1" t="str">
        <f>IFERROR(__xludf.DUMMYFUNCTION("""COMPUTED_VALUE"""),"001205")</f>
        <v>001205</v>
      </c>
      <c r="J106" s="3">
        <f>IFERROR(__xludf.DUMMYFUNCTION("""COMPUTED_VALUE"""),45524.0)</f>
        <v>45524</v>
      </c>
    </row>
    <row r="107">
      <c r="A107" s="1" t="str">
        <f>IFERROR(__xludf.DUMMYFUNCTION("""COMPUTED_VALUE"""),"2470549375")</f>
        <v>2470549375</v>
      </c>
      <c r="B107" s="1" t="str">
        <f>IFERROR(__xludf.DUMMYFUNCTION("""COMPUTED_VALUE"""),"Disharoon")</f>
        <v>Disharoon</v>
      </c>
      <c r="C107" s="1" t="str">
        <f>IFERROR(__xludf.DUMMYFUNCTION("""COMPUTED_VALUE"""),"Phoebe")</f>
        <v>Phoebe</v>
      </c>
      <c r="D107" s="2">
        <f>IFERROR(__xludf.DUMMYFUNCTION("""COMPUTED_VALUE"""),8.0)</f>
        <v>8</v>
      </c>
      <c r="E107" s="1" t="str">
        <f>IFERROR(__xludf.DUMMYFUNCTION("""COMPUTED_VALUE"""),"F")</f>
        <v>F</v>
      </c>
      <c r="F107" s="1" t="str">
        <f>IFERROR(__xludf.DUMMYFUNCTION("""COMPUTED_VALUE"""),"No, not Hispanic or Latino")</f>
        <v>No, not Hispanic or Latino</v>
      </c>
      <c r="G107" s="1" t="str">
        <f>IFERROR(__xludf.DUMMYFUNCTION("""COMPUTED_VALUE"""),"White")</f>
        <v>White</v>
      </c>
      <c r="H107" s="2">
        <f>IFERROR(__xludf.DUMMYFUNCTION("""COMPUTED_VALUE"""),1041.0)</f>
        <v>1041</v>
      </c>
      <c r="I107" s="1" t="str">
        <f>IFERROR(__xludf.DUMMYFUNCTION("""COMPUTED_VALUE"""),"001205")</f>
        <v>001205</v>
      </c>
      <c r="J107" s="3">
        <f>IFERROR(__xludf.DUMMYFUNCTION("""COMPUTED_VALUE"""),45524.0)</f>
        <v>45524</v>
      </c>
    </row>
    <row r="108">
      <c r="A108" s="1" t="str">
        <f>IFERROR(__xludf.DUMMYFUNCTION("""COMPUTED_VALUE"""),"7073499486")</f>
        <v>7073499486</v>
      </c>
      <c r="B108" s="1" t="str">
        <f>IFERROR(__xludf.DUMMYFUNCTION("""COMPUTED_VALUE"""),"Flores")</f>
        <v>Flores</v>
      </c>
      <c r="C108" s="1" t="str">
        <f>IFERROR(__xludf.DUMMYFUNCTION("""COMPUTED_VALUE"""),"Giselle")</f>
        <v>Giselle</v>
      </c>
      <c r="D108" s="2">
        <f>IFERROR(__xludf.DUMMYFUNCTION("""COMPUTED_VALUE"""),8.0)</f>
        <v>8</v>
      </c>
      <c r="E108" s="1" t="str">
        <f>IFERROR(__xludf.DUMMYFUNCTION("""COMPUTED_VALUE"""),"F")</f>
        <v>F</v>
      </c>
      <c r="F108" s="1" t="str">
        <f>IFERROR(__xludf.DUMMYFUNCTION("""COMPUTED_VALUE"""),"Yes, Hispanic or Latino")</f>
        <v>Yes, Hispanic or Latino</v>
      </c>
      <c r="G108" s="1" t="str">
        <f>IFERROR(__xludf.DUMMYFUNCTION("""COMPUTED_VALUE"""),"No Answer Provided")</f>
        <v>No Answer Provided</v>
      </c>
      <c r="H108" s="2">
        <f>IFERROR(__xludf.DUMMYFUNCTION("""COMPUTED_VALUE"""),1041.0)</f>
        <v>1041</v>
      </c>
      <c r="I108" s="1" t="str">
        <f>IFERROR(__xludf.DUMMYFUNCTION("""COMPUTED_VALUE"""),"001205")</f>
        <v>001205</v>
      </c>
      <c r="J108" s="3">
        <f>IFERROR(__xludf.DUMMYFUNCTION("""COMPUTED_VALUE"""),45524.0)</f>
        <v>45524</v>
      </c>
    </row>
    <row r="109">
      <c r="A109" s="1" t="str">
        <f>IFERROR(__xludf.DUMMYFUNCTION("""COMPUTED_VALUE"""),"7029084655")</f>
        <v>7029084655</v>
      </c>
      <c r="B109" s="1" t="str">
        <f>IFERROR(__xludf.DUMMYFUNCTION("""COMPUTED_VALUE"""),"Freslon Sayer")</f>
        <v>Freslon Sayer</v>
      </c>
      <c r="C109" s="1" t="str">
        <f>IFERROR(__xludf.DUMMYFUNCTION("""COMPUTED_VALUE"""),"Jules")</f>
        <v>Jules</v>
      </c>
      <c r="D109" s="2">
        <f>IFERROR(__xludf.DUMMYFUNCTION("""COMPUTED_VALUE"""),7.0)</f>
        <v>7</v>
      </c>
      <c r="E109" s="1" t="str">
        <f>IFERROR(__xludf.DUMMYFUNCTION("""COMPUTED_VALUE"""),"M")</f>
        <v>M</v>
      </c>
      <c r="F109" s="1" t="str">
        <f>IFERROR(__xludf.DUMMYFUNCTION("""COMPUTED_VALUE"""),"No, not Hispanic or Latino")</f>
        <v>No, not Hispanic or Latino</v>
      </c>
      <c r="G109" s="1" t="str">
        <f>IFERROR(__xludf.DUMMYFUNCTION("""COMPUTED_VALUE"""),"White")</f>
        <v>White</v>
      </c>
      <c r="H109" s="2">
        <f>IFERROR(__xludf.DUMMYFUNCTION("""COMPUTED_VALUE"""),1042.0)</f>
        <v>1042</v>
      </c>
      <c r="I109" s="1" t="str">
        <f>IFERROR(__xludf.DUMMYFUNCTION("""COMPUTED_VALUE"""),"001205")</f>
        <v>001205</v>
      </c>
      <c r="J109" s="3">
        <f>IFERROR(__xludf.DUMMYFUNCTION("""COMPUTED_VALUE"""),45524.0)</f>
        <v>45524</v>
      </c>
    </row>
    <row r="110">
      <c r="A110" s="1" t="str">
        <f>IFERROR(__xludf.DUMMYFUNCTION("""COMPUTED_VALUE"""),"1130738681")</f>
        <v>1130738681</v>
      </c>
      <c r="B110" s="1" t="str">
        <f>IFERROR(__xludf.DUMMYFUNCTION("""COMPUTED_VALUE"""),"Gaspari III")</f>
        <v>Gaspari III</v>
      </c>
      <c r="C110" s="1" t="str">
        <f>IFERROR(__xludf.DUMMYFUNCTION("""COMPUTED_VALUE"""),"Alfred")</f>
        <v>Alfred</v>
      </c>
      <c r="D110" s="2">
        <f>IFERROR(__xludf.DUMMYFUNCTION("""COMPUTED_VALUE"""),8.0)</f>
        <v>8</v>
      </c>
      <c r="E110" s="1" t="str">
        <f>IFERROR(__xludf.DUMMYFUNCTION("""COMPUTED_VALUE"""),"M")</f>
        <v>M</v>
      </c>
      <c r="F110" s="1" t="str">
        <f>IFERROR(__xludf.DUMMYFUNCTION("""COMPUTED_VALUE"""),"No, not Hispanic or Latino")</f>
        <v>No, not Hispanic or Latino</v>
      </c>
      <c r="G110" s="1" t="str">
        <f>IFERROR(__xludf.DUMMYFUNCTION("""COMPUTED_VALUE"""),"White")</f>
        <v>White</v>
      </c>
      <c r="H110" s="2">
        <f>IFERROR(__xludf.DUMMYFUNCTION("""COMPUTED_VALUE"""),1041.0)</f>
        <v>1041</v>
      </c>
      <c r="I110" s="1" t="str">
        <f>IFERROR(__xludf.DUMMYFUNCTION("""COMPUTED_VALUE"""),"001205")</f>
        <v>001205</v>
      </c>
      <c r="J110" s="3">
        <f>IFERROR(__xludf.DUMMYFUNCTION("""COMPUTED_VALUE"""),45524.0)</f>
        <v>45524</v>
      </c>
    </row>
    <row r="111">
      <c r="A111" s="1" t="str">
        <f>IFERROR(__xludf.DUMMYFUNCTION("""COMPUTED_VALUE"""),"2537539288")</f>
        <v>2537539288</v>
      </c>
      <c r="B111" s="1" t="str">
        <f>IFERROR(__xludf.DUMMYFUNCTION("""COMPUTED_VALUE"""),"Gillespie")</f>
        <v>Gillespie</v>
      </c>
      <c r="C111" s="1" t="str">
        <f>IFERROR(__xludf.DUMMYFUNCTION("""COMPUTED_VALUE"""),"Ilaria")</f>
        <v>Ilaria</v>
      </c>
      <c r="D111" s="2">
        <f>IFERROR(__xludf.DUMMYFUNCTION("""COMPUTED_VALUE"""),8.0)</f>
        <v>8</v>
      </c>
      <c r="E111" s="1" t="str">
        <f>IFERROR(__xludf.DUMMYFUNCTION("""COMPUTED_VALUE"""),"F")</f>
        <v>F</v>
      </c>
      <c r="F111" s="1" t="str">
        <f>IFERROR(__xludf.DUMMYFUNCTION("""COMPUTED_VALUE"""),"No, not Hispanic or Latino")</f>
        <v>No, not Hispanic or Latino</v>
      </c>
      <c r="G111" s="1" t="str">
        <f>IFERROR(__xludf.DUMMYFUNCTION("""COMPUTED_VALUE"""),"White")</f>
        <v>White</v>
      </c>
      <c r="H111" s="2">
        <f>IFERROR(__xludf.DUMMYFUNCTION("""COMPUTED_VALUE"""),1041.0)</f>
        <v>1041</v>
      </c>
      <c r="I111" s="1" t="str">
        <f>IFERROR(__xludf.DUMMYFUNCTION("""COMPUTED_VALUE"""),"001205")</f>
        <v>001205</v>
      </c>
      <c r="J111" s="3">
        <f>IFERROR(__xludf.DUMMYFUNCTION("""COMPUTED_VALUE"""),45524.0)</f>
        <v>45524</v>
      </c>
    </row>
    <row r="112">
      <c r="A112" s="1" t="str">
        <f>IFERROR(__xludf.DUMMYFUNCTION("""COMPUTED_VALUE"""),"2427512130")</f>
        <v>2427512130</v>
      </c>
      <c r="B112" s="1" t="str">
        <f>IFERROR(__xludf.DUMMYFUNCTION("""COMPUTED_VALUE"""),"Gilligan")</f>
        <v>Gilligan</v>
      </c>
      <c r="C112" s="1" t="str">
        <f>IFERROR(__xludf.DUMMYFUNCTION("""COMPUTED_VALUE"""),"Skylar")</f>
        <v>Skylar</v>
      </c>
      <c r="D112" s="2">
        <f>IFERROR(__xludf.DUMMYFUNCTION("""COMPUTED_VALUE"""),7.0)</f>
        <v>7</v>
      </c>
      <c r="E112" s="1" t="str">
        <f>IFERROR(__xludf.DUMMYFUNCTION("""COMPUTED_VALUE"""),"F")</f>
        <v>F</v>
      </c>
      <c r="F112" s="1" t="str">
        <f>IFERROR(__xludf.DUMMYFUNCTION("""COMPUTED_VALUE"""),"No, not Hispanic or Latino")</f>
        <v>No, not Hispanic or Latino</v>
      </c>
      <c r="G112" s="1" t="str">
        <f>IFERROR(__xludf.DUMMYFUNCTION("""COMPUTED_VALUE"""),"White")</f>
        <v>White</v>
      </c>
      <c r="H112" s="2">
        <f>IFERROR(__xludf.DUMMYFUNCTION("""COMPUTED_VALUE"""),1041.0)</f>
        <v>1041</v>
      </c>
      <c r="I112" s="1" t="str">
        <f>IFERROR(__xludf.DUMMYFUNCTION("""COMPUTED_VALUE"""),"001205")</f>
        <v>001205</v>
      </c>
      <c r="J112" s="3">
        <f>IFERROR(__xludf.DUMMYFUNCTION("""COMPUTED_VALUE"""),45524.0)</f>
        <v>45524</v>
      </c>
    </row>
    <row r="113">
      <c r="A113" s="1" t="str">
        <f>IFERROR(__xludf.DUMMYFUNCTION("""COMPUTED_VALUE"""),"6721984844")</f>
        <v>6721984844</v>
      </c>
      <c r="B113" s="1" t="str">
        <f>IFERROR(__xludf.DUMMYFUNCTION("""COMPUTED_VALUE"""),"Glover")</f>
        <v>Glover</v>
      </c>
      <c r="C113" s="1" t="str">
        <f>IFERROR(__xludf.DUMMYFUNCTION("""COMPUTED_VALUE"""),"Sofia")</f>
        <v>Sofia</v>
      </c>
      <c r="D113" s="2">
        <f>IFERROR(__xludf.DUMMYFUNCTION("""COMPUTED_VALUE"""),8.0)</f>
        <v>8</v>
      </c>
      <c r="E113" s="1" t="str">
        <f>IFERROR(__xludf.DUMMYFUNCTION("""COMPUTED_VALUE"""),"F")</f>
        <v>F</v>
      </c>
      <c r="F113" s="1" t="str">
        <f>IFERROR(__xludf.DUMMYFUNCTION("""COMPUTED_VALUE"""),"No, not Hispanic or Latino")</f>
        <v>No, not Hispanic or Latino</v>
      </c>
      <c r="G113" s="1" t="str">
        <f>IFERROR(__xludf.DUMMYFUNCTION("""COMPUTED_VALUE"""),"White")</f>
        <v>White</v>
      </c>
      <c r="H113" s="2">
        <f>IFERROR(__xludf.DUMMYFUNCTION("""COMPUTED_VALUE"""),1042.0)</f>
        <v>1042</v>
      </c>
      <c r="I113" s="1" t="str">
        <f>IFERROR(__xludf.DUMMYFUNCTION("""COMPUTED_VALUE"""),"001205")</f>
        <v>001205</v>
      </c>
      <c r="J113" s="3">
        <f>IFERROR(__xludf.DUMMYFUNCTION("""COMPUTED_VALUE"""),45524.0)</f>
        <v>45524</v>
      </c>
    </row>
    <row r="114">
      <c r="A114" s="1" t="str">
        <f>IFERROR(__xludf.DUMMYFUNCTION("""COMPUTED_VALUE"""),"5475493708")</f>
        <v>5475493708</v>
      </c>
      <c r="B114" s="1" t="str">
        <f>IFERROR(__xludf.DUMMYFUNCTION("""COMPUTED_VALUE"""),"Gutierrez")</f>
        <v>Gutierrez</v>
      </c>
      <c r="C114" s="1" t="str">
        <f>IFERROR(__xludf.DUMMYFUNCTION("""COMPUTED_VALUE"""),"Allison")</f>
        <v>Allison</v>
      </c>
      <c r="D114" s="2">
        <f>IFERROR(__xludf.DUMMYFUNCTION("""COMPUTED_VALUE"""),8.0)</f>
        <v>8</v>
      </c>
      <c r="E114" s="1" t="str">
        <f>IFERROR(__xludf.DUMMYFUNCTION("""COMPUTED_VALUE"""),"F")</f>
        <v>F</v>
      </c>
      <c r="F114" s="1" t="str">
        <f>IFERROR(__xludf.DUMMYFUNCTION("""COMPUTED_VALUE"""),"Yes, Hispanic or Latino")</f>
        <v>Yes, Hispanic or Latino</v>
      </c>
      <c r="G114" s="1" t="str">
        <f>IFERROR(__xludf.DUMMYFUNCTION("""COMPUTED_VALUE"""),"White")</f>
        <v>White</v>
      </c>
      <c r="H114" s="2">
        <f>IFERROR(__xludf.DUMMYFUNCTION("""COMPUTED_VALUE"""),1041.0)</f>
        <v>1041</v>
      </c>
      <c r="I114" s="1" t="str">
        <f>IFERROR(__xludf.DUMMYFUNCTION("""COMPUTED_VALUE"""),"001205")</f>
        <v>001205</v>
      </c>
      <c r="J114" s="3">
        <f>IFERROR(__xludf.DUMMYFUNCTION("""COMPUTED_VALUE"""),45524.0)</f>
        <v>45524</v>
      </c>
    </row>
    <row r="115">
      <c r="A115" s="1" t="str">
        <f>IFERROR(__xludf.DUMMYFUNCTION("""COMPUTED_VALUE"""),"8098801727")</f>
        <v>8098801727</v>
      </c>
      <c r="B115" s="1" t="str">
        <f>IFERROR(__xludf.DUMMYFUNCTION("""COMPUTED_VALUE"""),"Heckler")</f>
        <v>Heckler</v>
      </c>
      <c r="C115" s="1" t="str">
        <f>IFERROR(__xludf.DUMMYFUNCTION("""COMPUTED_VALUE"""),"Cameron")</f>
        <v>Cameron</v>
      </c>
      <c r="D115" s="2">
        <f>IFERROR(__xludf.DUMMYFUNCTION("""COMPUTED_VALUE"""),7.0)</f>
        <v>7</v>
      </c>
      <c r="E115" s="1" t="str">
        <f>IFERROR(__xludf.DUMMYFUNCTION("""COMPUTED_VALUE"""),"F")</f>
        <v>F</v>
      </c>
      <c r="F115" s="1" t="str">
        <f>IFERROR(__xludf.DUMMYFUNCTION("""COMPUTED_VALUE"""),"No, not Hispanic or Latino")</f>
        <v>No, not Hispanic or Latino</v>
      </c>
      <c r="G115" s="1" t="str">
        <f>IFERROR(__xludf.DUMMYFUNCTION("""COMPUTED_VALUE"""),"White")</f>
        <v>White</v>
      </c>
      <c r="H115" s="2">
        <f>IFERROR(__xludf.DUMMYFUNCTION("""COMPUTED_VALUE"""),1042.0)</f>
        <v>1042</v>
      </c>
      <c r="I115" s="1" t="str">
        <f>IFERROR(__xludf.DUMMYFUNCTION("""COMPUTED_VALUE"""),"001205")</f>
        <v>001205</v>
      </c>
      <c r="J115" s="3">
        <f>IFERROR(__xludf.DUMMYFUNCTION("""COMPUTED_VALUE"""),45524.0)</f>
        <v>45524</v>
      </c>
    </row>
    <row r="116">
      <c r="A116" s="1" t="str">
        <f>IFERROR(__xludf.DUMMYFUNCTION("""COMPUTED_VALUE"""),"4125928645")</f>
        <v>4125928645</v>
      </c>
      <c r="B116" s="1" t="str">
        <f>IFERROR(__xludf.DUMMYFUNCTION("""COMPUTED_VALUE"""),"Holden-Holley")</f>
        <v>Holden-Holley</v>
      </c>
      <c r="C116" s="1" t="str">
        <f>IFERROR(__xludf.DUMMYFUNCTION("""COMPUTED_VALUE"""),"Sasha")</f>
        <v>Sasha</v>
      </c>
      <c r="D116" s="2">
        <f>IFERROR(__xludf.DUMMYFUNCTION("""COMPUTED_VALUE"""),7.0)</f>
        <v>7</v>
      </c>
      <c r="E116" s="1" t="str">
        <f>IFERROR(__xludf.DUMMYFUNCTION("""COMPUTED_VALUE"""),"F")</f>
        <v>F</v>
      </c>
      <c r="F116" s="1" t="str">
        <f>IFERROR(__xludf.DUMMYFUNCTION("""COMPUTED_VALUE"""),"No, not Hispanic or Latino")</f>
        <v>No, not Hispanic or Latino</v>
      </c>
      <c r="G116" s="1" t="str">
        <f>IFERROR(__xludf.DUMMYFUNCTION("""COMPUTED_VALUE"""),"White")</f>
        <v>White</v>
      </c>
      <c r="H116" s="2">
        <f>IFERROR(__xludf.DUMMYFUNCTION("""COMPUTED_VALUE"""),1042.0)</f>
        <v>1042</v>
      </c>
      <c r="I116" s="1" t="str">
        <f>IFERROR(__xludf.DUMMYFUNCTION("""COMPUTED_VALUE"""),"001205")</f>
        <v>001205</v>
      </c>
      <c r="J116" s="3">
        <f>IFERROR(__xludf.DUMMYFUNCTION("""COMPUTED_VALUE"""),45524.0)</f>
        <v>45524</v>
      </c>
    </row>
    <row r="117">
      <c r="A117" s="1" t="str">
        <f>IFERROR(__xludf.DUMMYFUNCTION("""COMPUTED_VALUE"""),"9743476217")</f>
        <v>9743476217</v>
      </c>
      <c r="B117" s="1" t="str">
        <f>IFERROR(__xludf.DUMMYFUNCTION("""COMPUTED_VALUE"""),"Ixchop Calderon")</f>
        <v>Ixchop Calderon</v>
      </c>
      <c r="C117" s="1" t="str">
        <f>IFERROR(__xludf.DUMMYFUNCTION("""COMPUTED_VALUE"""),"Jackeline")</f>
        <v>Jackeline</v>
      </c>
      <c r="D117" s="2">
        <f>IFERROR(__xludf.DUMMYFUNCTION("""COMPUTED_VALUE"""),8.0)</f>
        <v>8</v>
      </c>
      <c r="E117" s="1" t="str">
        <f>IFERROR(__xludf.DUMMYFUNCTION("""COMPUTED_VALUE"""),"F")</f>
        <v>F</v>
      </c>
      <c r="F117" s="1" t="str">
        <f>IFERROR(__xludf.DUMMYFUNCTION("""COMPUTED_VALUE"""),"Yes, Hispanic or Latino")</f>
        <v>Yes, Hispanic or Latino</v>
      </c>
      <c r="G117" s="1" t="str">
        <f>IFERROR(__xludf.DUMMYFUNCTION("""COMPUTED_VALUE"""),"No Answer Provided")</f>
        <v>No Answer Provided</v>
      </c>
      <c r="H117" s="2">
        <f>IFERROR(__xludf.DUMMYFUNCTION("""COMPUTED_VALUE"""),1041.0)</f>
        <v>1041</v>
      </c>
      <c r="I117" s="1" t="str">
        <f>IFERROR(__xludf.DUMMYFUNCTION("""COMPUTED_VALUE"""),"001205")</f>
        <v>001205</v>
      </c>
      <c r="J117" s="3">
        <f>IFERROR(__xludf.DUMMYFUNCTION("""COMPUTED_VALUE"""),45524.0)</f>
        <v>45524</v>
      </c>
    </row>
    <row r="118">
      <c r="A118" s="1" t="str">
        <f>IFERROR(__xludf.DUMMYFUNCTION("""COMPUTED_VALUE"""),"1310627395")</f>
        <v>1310627395</v>
      </c>
      <c r="B118" s="1" t="str">
        <f>IFERROR(__xludf.DUMMYFUNCTION("""COMPUTED_VALUE"""),"Kelsey")</f>
        <v>Kelsey</v>
      </c>
      <c r="C118" s="1" t="str">
        <f>IFERROR(__xludf.DUMMYFUNCTION("""COMPUTED_VALUE"""),"Elizabeth")</f>
        <v>Elizabeth</v>
      </c>
      <c r="D118" s="2">
        <f>IFERROR(__xludf.DUMMYFUNCTION("""COMPUTED_VALUE"""),8.0)</f>
        <v>8</v>
      </c>
      <c r="E118" s="1" t="str">
        <f>IFERROR(__xludf.DUMMYFUNCTION("""COMPUTED_VALUE"""),"F")</f>
        <v>F</v>
      </c>
      <c r="F118" s="1" t="str">
        <f>IFERROR(__xludf.DUMMYFUNCTION("""COMPUTED_VALUE"""),"No, not Hispanic or Latino")</f>
        <v>No, not Hispanic or Latino</v>
      </c>
      <c r="G118" s="1" t="str">
        <f>IFERROR(__xludf.DUMMYFUNCTION("""COMPUTED_VALUE"""),"White")</f>
        <v>White</v>
      </c>
      <c r="H118" s="2">
        <f>IFERROR(__xludf.DUMMYFUNCTION("""COMPUTED_VALUE"""),1041.0)</f>
        <v>1041</v>
      </c>
      <c r="I118" s="1" t="str">
        <f>IFERROR(__xludf.DUMMYFUNCTION("""COMPUTED_VALUE"""),"001205")</f>
        <v>001205</v>
      </c>
      <c r="J118" s="3">
        <f>IFERROR(__xludf.DUMMYFUNCTION("""COMPUTED_VALUE"""),45524.0)</f>
        <v>45524</v>
      </c>
    </row>
    <row r="119">
      <c r="A119" s="1" t="str">
        <f>IFERROR(__xludf.DUMMYFUNCTION("""COMPUTED_VALUE"""),"9716865794")</f>
        <v>9716865794</v>
      </c>
      <c r="B119" s="1" t="str">
        <f>IFERROR(__xludf.DUMMYFUNCTION("""COMPUTED_VALUE"""),"Laffer")</f>
        <v>Laffer</v>
      </c>
      <c r="C119" s="1" t="str">
        <f>IFERROR(__xludf.DUMMYFUNCTION("""COMPUTED_VALUE"""),"Fern")</f>
        <v>Fern</v>
      </c>
      <c r="D119" s="2">
        <f>IFERROR(__xludf.DUMMYFUNCTION("""COMPUTED_VALUE"""),8.0)</f>
        <v>8</v>
      </c>
      <c r="E119" s="1" t="str">
        <f>IFERROR(__xludf.DUMMYFUNCTION("""COMPUTED_VALUE"""),"F")</f>
        <v>F</v>
      </c>
      <c r="F119" s="1" t="str">
        <f>IFERROR(__xludf.DUMMYFUNCTION("""COMPUTED_VALUE"""),"No, not Hispanic or Latino")</f>
        <v>No, not Hispanic or Latino</v>
      </c>
      <c r="G119" s="1" t="str">
        <f>IFERROR(__xludf.DUMMYFUNCTION("""COMPUTED_VALUE"""),"White")</f>
        <v>White</v>
      </c>
      <c r="H119" s="2">
        <f>IFERROR(__xludf.DUMMYFUNCTION("""COMPUTED_VALUE"""),1041.0)</f>
        <v>1041</v>
      </c>
      <c r="I119" s="1" t="str">
        <f>IFERROR(__xludf.DUMMYFUNCTION("""COMPUTED_VALUE"""),"001205")</f>
        <v>001205</v>
      </c>
      <c r="J119" s="3">
        <f>IFERROR(__xludf.DUMMYFUNCTION("""COMPUTED_VALUE"""),45524.0)</f>
        <v>45524</v>
      </c>
    </row>
    <row r="120">
      <c r="A120" s="1" t="str">
        <f>IFERROR(__xludf.DUMMYFUNCTION("""COMPUTED_VALUE"""),"5503158551")</f>
        <v>5503158551</v>
      </c>
      <c r="B120" s="1" t="str">
        <f>IFERROR(__xludf.DUMMYFUNCTION("""COMPUTED_VALUE"""),"Lauster")</f>
        <v>Lauster</v>
      </c>
      <c r="C120" s="1" t="str">
        <f>IFERROR(__xludf.DUMMYFUNCTION("""COMPUTED_VALUE"""),"Hailey")</f>
        <v>Hailey</v>
      </c>
      <c r="D120" s="2">
        <f>IFERROR(__xludf.DUMMYFUNCTION("""COMPUTED_VALUE"""),8.0)</f>
        <v>8</v>
      </c>
      <c r="E120" s="1" t="str">
        <f>IFERROR(__xludf.DUMMYFUNCTION("""COMPUTED_VALUE"""),"F")</f>
        <v>F</v>
      </c>
      <c r="F120" s="1" t="str">
        <f>IFERROR(__xludf.DUMMYFUNCTION("""COMPUTED_VALUE"""),"No, not Hispanic or Latino")</f>
        <v>No, not Hispanic or Latino</v>
      </c>
      <c r="G120" s="1" t="str">
        <f>IFERROR(__xludf.DUMMYFUNCTION("""COMPUTED_VALUE"""),"White")</f>
        <v>White</v>
      </c>
      <c r="H120" s="2">
        <f>IFERROR(__xludf.DUMMYFUNCTION("""COMPUTED_VALUE"""),1041.0)</f>
        <v>1041</v>
      </c>
      <c r="I120" s="1" t="str">
        <f>IFERROR(__xludf.DUMMYFUNCTION("""COMPUTED_VALUE"""),"001205")</f>
        <v>001205</v>
      </c>
      <c r="J120" s="3">
        <f>IFERROR(__xludf.DUMMYFUNCTION("""COMPUTED_VALUE"""),45524.0)</f>
        <v>45524</v>
      </c>
    </row>
    <row r="121">
      <c r="A121" s="1" t="str">
        <f>IFERROR(__xludf.DUMMYFUNCTION("""COMPUTED_VALUE"""),"9536090218")</f>
        <v>9536090218</v>
      </c>
      <c r="B121" s="1" t="str">
        <f>IFERROR(__xludf.DUMMYFUNCTION("""COMPUTED_VALUE"""),"Lewis")</f>
        <v>Lewis</v>
      </c>
      <c r="C121" s="1" t="str">
        <f>IFERROR(__xludf.DUMMYFUNCTION("""COMPUTED_VALUE"""),"Lea")</f>
        <v>Lea</v>
      </c>
      <c r="D121" s="2">
        <f>IFERROR(__xludf.DUMMYFUNCTION("""COMPUTED_VALUE"""),8.0)</f>
        <v>8</v>
      </c>
      <c r="E121" s="1" t="str">
        <f>IFERROR(__xludf.DUMMYFUNCTION("""COMPUTED_VALUE"""),"F")</f>
        <v>F</v>
      </c>
      <c r="F121" s="1" t="str">
        <f>IFERROR(__xludf.DUMMYFUNCTION("""COMPUTED_VALUE"""),"No, not Hispanic or Latino")</f>
        <v>No, not Hispanic or Latino</v>
      </c>
      <c r="G121" s="1" t="str">
        <f>IFERROR(__xludf.DUMMYFUNCTION("""COMPUTED_VALUE"""),"White")</f>
        <v>White</v>
      </c>
      <c r="H121" s="2">
        <f>IFERROR(__xludf.DUMMYFUNCTION("""COMPUTED_VALUE"""),1042.0)</f>
        <v>1042</v>
      </c>
      <c r="I121" s="1" t="str">
        <f>IFERROR(__xludf.DUMMYFUNCTION("""COMPUTED_VALUE"""),"001205")</f>
        <v>001205</v>
      </c>
      <c r="J121" s="3">
        <f>IFERROR(__xludf.DUMMYFUNCTION("""COMPUTED_VALUE"""),45524.0)</f>
        <v>45524</v>
      </c>
    </row>
    <row r="122">
      <c r="A122" s="1" t="str">
        <f>IFERROR(__xludf.DUMMYFUNCTION("""COMPUTED_VALUE"""),"2489891670")</f>
        <v>2489891670</v>
      </c>
      <c r="B122" s="1" t="str">
        <f>IFERROR(__xludf.DUMMYFUNCTION("""COMPUTED_VALUE"""),"Lindenmuth")</f>
        <v>Lindenmuth</v>
      </c>
      <c r="C122" s="1" t="str">
        <f>IFERROR(__xludf.DUMMYFUNCTION("""COMPUTED_VALUE"""),"Natalie")</f>
        <v>Natalie</v>
      </c>
      <c r="D122" s="2">
        <f>IFERROR(__xludf.DUMMYFUNCTION("""COMPUTED_VALUE"""),8.0)</f>
        <v>8</v>
      </c>
      <c r="E122" s="1" t="str">
        <f>IFERROR(__xludf.DUMMYFUNCTION("""COMPUTED_VALUE"""),"F")</f>
        <v>F</v>
      </c>
      <c r="F122" s="1" t="str">
        <f>IFERROR(__xludf.DUMMYFUNCTION("""COMPUTED_VALUE"""),"No, not Hispanic or Latino")</f>
        <v>No, not Hispanic or Latino</v>
      </c>
      <c r="G122" s="1" t="str">
        <f>IFERROR(__xludf.DUMMYFUNCTION("""COMPUTED_VALUE"""),"White")</f>
        <v>White</v>
      </c>
      <c r="H122" s="2">
        <f>IFERROR(__xludf.DUMMYFUNCTION("""COMPUTED_VALUE"""),1042.0)</f>
        <v>1042</v>
      </c>
      <c r="I122" s="1" t="str">
        <f>IFERROR(__xludf.DUMMYFUNCTION("""COMPUTED_VALUE"""),"001205")</f>
        <v>001205</v>
      </c>
      <c r="J122" s="3">
        <f>IFERROR(__xludf.DUMMYFUNCTION("""COMPUTED_VALUE"""),45524.0)</f>
        <v>45524</v>
      </c>
    </row>
    <row r="123">
      <c r="A123" s="1" t="str">
        <f>IFERROR(__xludf.DUMMYFUNCTION("""COMPUTED_VALUE"""),"7629221665")</f>
        <v>7629221665</v>
      </c>
      <c r="B123" s="1" t="str">
        <f>IFERROR(__xludf.DUMMYFUNCTION("""COMPUTED_VALUE"""),"Luna")</f>
        <v>Luna</v>
      </c>
      <c r="C123" s="1" t="str">
        <f>IFERROR(__xludf.DUMMYFUNCTION("""COMPUTED_VALUE"""),"Genesis")</f>
        <v>Genesis</v>
      </c>
      <c r="D123" s="2">
        <f>IFERROR(__xludf.DUMMYFUNCTION("""COMPUTED_VALUE"""),8.0)</f>
        <v>8</v>
      </c>
      <c r="E123" s="1" t="str">
        <f>IFERROR(__xludf.DUMMYFUNCTION("""COMPUTED_VALUE"""),"F")</f>
        <v>F</v>
      </c>
      <c r="F123" s="1" t="str">
        <f>IFERROR(__xludf.DUMMYFUNCTION("""COMPUTED_VALUE"""),"No, not Hispanic or Latino")</f>
        <v>No, not Hispanic or Latino</v>
      </c>
      <c r="G123" s="1" t="str">
        <f>IFERROR(__xludf.DUMMYFUNCTION("""COMPUTED_VALUE"""),"White")</f>
        <v>White</v>
      </c>
      <c r="H123" s="2">
        <f>IFERROR(__xludf.DUMMYFUNCTION("""COMPUTED_VALUE"""),1042.0)</f>
        <v>1042</v>
      </c>
      <c r="I123" s="1" t="str">
        <f>IFERROR(__xludf.DUMMYFUNCTION("""COMPUTED_VALUE"""),"001205")</f>
        <v>001205</v>
      </c>
      <c r="J123" s="3">
        <f>IFERROR(__xludf.DUMMYFUNCTION("""COMPUTED_VALUE"""),45524.0)</f>
        <v>45524</v>
      </c>
    </row>
    <row r="124">
      <c r="A124" s="1" t="str">
        <f>IFERROR(__xludf.DUMMYFUNCTION("""COMPUTED_VALUE"""),"6739675806")</f>
        <v>6739675806</v>
      </c>
      <c r="B124" s="1" t="str">
        <f>IFERROR(__xludf.DUMMYFUNCTION("""COMPUTED_VALUE"""),"Maibaum")</f>
        <v>Maibaum</v>
      </c>
      <c r="C124" s="1" t="str">
        <f>IFERROR(__xludf.DUMMYFUNCTION("""COMPUTED_VALUE"""),"Lilly")</f>
        <v>Lilly</v>
      </c>
      <c r="D124" s="2">
        <f>IFERROR(__xludf.DUMMYFUNCTION("""COMPUTED_VALUE"""),7.0)</f>
        <v>7</v>
      </c>
      <c r="E124" s="1" t="str">
        <f>IFERROR(__xludf.DUMMYFUNCTION("""COMPUTED_VALUE"""),"F")</f>
        <v>F</v>
      </c>
      <c r="F124" s="1" t="str">
        <f>IFERROR(__xludf.DUMMYFUNCTION("""COMPUTED_VALUE"""),"Yes, Hispanic or Latino")</f>
        <v>Yes, Hispanic or Latino</v>
      </c>
      <c r="G124" s="1" t="str">
        <f>IFERROR(__xludf.DUMMYFUNCTION("""COMPUTED_VALUE"""),"White")</f>
        <v>White</v>
      </c>
      <c r="H124" s="2">
        <f>IFERROR(__xludf.DUMMYFUNCTION("""COMPUTED_VALUE"""),1041.0)</f>
        <v>1041</v>
      </c>
      <c r="I124" s="1" t="str">
        <f>IFERROR(__xludf.DUMMYFUNCTION("""COMPUTED_VALUE"""),"001205")</f>
        <v>001205</v>
      </c>
      <c r="J124" s="3">
        <f>IFERROR(__xludf.DUMMYFUNCTION("""COMPUTED_VALUE"""),45524.0)</f>
        <v>45524</v>
      </c>
    </row>
    <row r="125">
      <c r="A125" s="1" t="str">
        <f>IFERROR(__xludf.DUMMYFUNCTION("""COMPUTED_VALUE"""),"4173926218")</f>
        <v>4173926218</v>
      </c>
      <c r="B125" s="1" t="str">
        <f>IFERROR(__xludf.DUMMYFUNCTION("""COMPUTED_VALUE"""),"Marroquin")</f>
        <v>Marroquin</v>
      </c>
      <c r="C125" s="1" t="str">
        <f>IFERROR(__xludf.DUMMYFUNCTION("""COMPUTED_VALUE"""),"Kai")</f>
        <v>Kai</v>
      </c>
      <c r="D125" s="2">
        <f>IFERROR(__xludf.DUMMYFUNCTION("""COMPUTED_VALUE"""),8.0)</f>
        <v>8</v>
      </c>
      <c r="E125" s="1" t="str">
        <f>IFERROR(__xludf.DUMMYFUNCTION("""COMPUTED_VALUE"""),"M")</f>
        <v>M</v>
      </c>
      <c r="F125" s="1" t="str">
        <f>IFERROR(__xludf.DUMMYFUNCTION("""COMPUTED_VALUE"""),"Yes, Hispanic or Latino")</f>
        <v>Yes, Hispanic or Latino</v>
      </c>
      <c r="G125" s="1" t="str">
        <f>IFERROR(__xludf.DUMMYFUNCTION("""COMPUTED_VALUE"""),"White")</f>
        <v>White</v>
      </c>
      <c r="H125" s="2">
        <f>IFERROR(__xludf.DUMMYFUNCTION("""COMPUTED_VALUE"""),1042.0)</f>
        <v>1042</v>
      </c>
      <c r="I125" s="1" t="str">
        <f>IFERROR(__xludf.DUMMYFUNCTION("""COMPUTED_VALUE"""),"001205")</f>
        <v>001205</v>
      </c>
      <c r="J125" s="3">
        <f>IFERROR(__xludf.DUMMYFUNCTION("""COMPUTED_VALUE"""),45524.0)</f>
        <v>45524</v>
      </c>
    </row>
    <row r="126">
      <c r="A126" s="1" t="str">
        <f>IFERROR(__xludf.DUMMYFUNCTION("""COMPUTED_VALUE"""),"6168828576")</f>
        <v>6168828576</v>
      </c>
      <c r="B126" s="1" t="str">
        <f>IFERROR(__xludf.DUMMYFUNCTION("""COMPUTED_VALUE"""),"McBride")</f>
        <v>McBride</v>
      </c>
      <c r="C126" s="1" t="str">
        <f>IFERROR(__xludf.DUMMYFUNCTION("""COMPUTED_VALUE"""),"Riordan")</f>
        <v>Riordan</v>
      </c>
      <c r="D126" s="2">
        <f>IFERROR(__xludf.DUMMYFUNCTION("""COMPUTED_VALUE"""),8.0)</f>
        <v>8</v>
      </c>
      <c r="E126" s="1" t="str">
        <f>IFERROR(__xludf.DUMMYFUNCTION("""COMPUTED_VALUE"""),"F")</f>
        <v>F</v>
      </c>
      <c r="F126" s="1" t="str">
        <f>IFERROR(__xludf.DUMMYFUNCTION("""COMPUTED_VALUE"""),"No, not Hispanic or Latino")</f>
        <v>No, not Hispanic or Latino</v>
      </c>
      <c r="G126" s="1" t="str">
        <f>IFERROR(__xludf.DUMMYFUNCTION("""COMPUTED_VALUE"""),"White")</f>
        <v>White</v>
      </c>
      <c r="H126" s="2">
        <f>IFERROR(__xludf.DUMMYFUNCTION("""COMPUTED_VALUE"""),1042.0)</f>
        <v>1042</v>
      </c>
      <c r="I126" s="1" t="str">
        <f>IFERROR(__xludf.DUMMYFUNCTION("""COMPUTED_VALUE"""),"001205")</f>
        <v>001205</v>
      </c>
      <c r="J126" s="3">
        <f>IFERROR(__xludf.DUMMYFUNCTION("""COMPUTED_VALUE"""),45524.0)</f>
        <v>45524</v>
      </c>
    </row>
    <row r="127">
      <c r="A127" s="1" t="str">
        <f>IFERROR(__xludf.DUMMYFUNCTION("""COMPUTED_VALUE"""),"3609929632")</f>
        <v>3609929632</v>
      </c>
      <c r="B127" s="1" t="str">
        <f>IFERROR(__xludf.DUMMYFUNCTION("""COMPUTED_VALUE"""),"McDermott")</f>
        <v>McDermott</v>
      </c>
      <c r="C127" s="1" t="str">
        <f>IFERROR(__xludf.DUMMYFUNCTION("""COMPUTED_VALUE"""),"Emily")</f>
        <v>Emily</v>
      </c>
      <c r="D127" s="2">
        <f>IFERROR(__xludf.DUMMYFUNCTION("""COMPUTED_VALUE"""),8.0)</f>
        <v>8</v>
      </c>
      <c r="E127" s="1" t="str">
        <f>IFERROR(__xludf.DUMMYFUNCTION("""COMPUTED_VALUE"""),"F")</f>
        <v>F</v>
      </c>
      <c r="F127" s="1" t="str">
        <f>IFERROR(__xludf.DUMMYFUNCTION("""COMPUTED_VALUE"""),"No, not Hispanic or Latino")</f>
        <v>No, not Hispanic or Latino</v>
      </c>
      <c r="G127" s="1" t="str">
        <f>IFERROR(__xludf.DUMMYFUNCTION("""COMPUTED_VALUE"""),"White")</f>
        <v>White</v>
      </c>
      <c r="H127" s="2">
        <f>IFERROR(__xludf.DUMMYFUNCTION("""COMPUTED_VALUE"""),1042.0)</f>
        <v>1042</v>
      </c>
      <c r="I127" s="1" t="str">
        <f>IFERROR(__xludf.DUMMYFUNCTION("""COMPUTED_VALUE"""),"001205")</f>
        <v>001205</v>
      </c>
      <c r="J127" s="3">
        <f>IFERROR(__xludf.DUMMYFUNCTION("""COMPUTED_VALUE"""),45524.0)</f>
        <v>45524</v>
      </c>
    </row>
    <row r="128">
      <c r="A128" s="1" t="str">
        <f>IFERROR(__xludf.DUMMYFUNCTION("""COMPUTED_VALUE"""),"3551865930")</f>
        <v>3551865930</v>
      </c>
      <c r="B128" s="1" t="str">
        <f>IFERROR(__xludf.DUMMYFUNCTION("""COMPUTED_VALUE"""),"Melenkivitz")</f>
        <v>Melenkivitz</v>
      </c>
      <c r="C128" s="1" t="str">
        <f>IFERROR(__xludf.DUMMYFUNCTION("""COMPUTED_VALUE"""),"Avery")</f>
        <v>Avery</v>
      </c>
      <c r="D128" s="2">
        <f>IFERROR(__xludf.DUMMYFUNCTION("""COMPUTED_VALUE"""),8.0)</f>
        <v>8</v>
      </c>
      <c r="E128" s="1" t="str">
        <f>IFERROR(__xludf.DUMMYFUNCTION("""COMPUTED_VALUE"""),"F")</f>
        <v>F</v>
      </c>
      <c r="F128" s="1" t="str">
        <f>IFERROR(__xludf.DUMMYFUNCTION("""COMPUTED_VALUE"""),"No, not Hispanic or Latino")</f>
        <v>No, not Hispanic or Latino</v>
      </c>
      <c r="G128" s="1" t="str">
        <f>IFERROR(__xludf.DUMMYFUNCTION("""COMPUTED_VALUE"""),"White")</f>
        <v>White</v>
      </c>
      <c r="H128" s="2">
        <f>IFERROR(__xludf.DUMMYFUNCTION("""COMPUTED_VALUE"""),1041.0)</f>
        <v>1041</v>
      </c>
      <c r="I128" s="1" t="str">
        <f>IFERROR(__xludf.DUMMYFUNCTION("""COMPUTED_VALUE"""),"001205")</f>
        <v>001205</v>
      </c>
      <c r="J128" s="3">
        <f>IFERROR(__xludf.DUMMYFUNCTION("""COMPUTED_VALUE"""),45524.0)</f>
        <v>45524</v>
      </c>
    </row>
    <row r="129">
      <c r="A129" s="1" t="str">
        <f>IFERROR(__xludf.DUMMYFUNCTION("""COMPUTED_VALUE"""),"8151561494")</f>
        <v>8151561494</v>
      </c>
      <c r="B129" s="1" t="str">
        <f>IFERROR(__xludf.DUMMYFUNCTION("""COMPUTED_VALUE"""),"Mendez")</f>
        <v>Mendez</v>
      </c>
      <c r="C129" s="1" t="str">
        <f>IFERROR(__xludf.DUMMYFUNCTION("""COMPUTED_VALUE"""),"Edilser")</f>
        <v>Edilser</v>
      </c>
      <c r="D129" s="2">
        <f>IFERROR(__xludf.DUMMYFUNCTION("""COMPUTED_VALUE"""),7.0)</f>
        <v>7</v>
      </c>
      <c r="E129" s="1" t="str">
        <f>IFERROR(__xludf.DUMMYFUNCTION("""COMPUTED_VALUE"""),"M")</f>
        <v>M</v>
      </c>
      <c r="F129" s="1" t="str">
        <f>IFERROR(__xludf.DUMMYFUNCTION("""COMPUTED_VALUE"""),"Yes, Hispanic or Latino")</f>
        <v>Yes, Hispanic or Latino</v>
      </c>
      <c r="G129" s="1" t="str">
        <f>IFERROR(__xludf.DUMMYFUNCTION("""COMPUTED_VALUE"""),"No Answer Provided")</f>
        <v>No Answer Provided</v>
      </c>
      <c r="H129" s="2">
        <f>IFERROR(__xludf.DUMMYFUNCTION("""COMPUTED_VALUE"""),1041.0)</f>
        <v>1041</v>
      </c>
      <c r="I129" s="1" t="str">
        <f>IFERROR(__xludf.DUMMYFUNCTION("""COMPUTED_VALUE"""),"001205")</f>
        <v>001205</v>
      </c>
      <c r="J129" s="3">
        <f>IFERROR(__xludf.DUMMYFUNCTION("""COMPUTED_VALUE"""),45524.0)</f>
        <v>45524</v>
      </c>
    </row>
    <row r="130">
      <c r="A130" s="1" t="str">
        <f>IFERROR(__xludf.DUMMYFUNCTION("""COMPUTED_VALUE"""),"6191168218")</f>
        <v>6191168218</v>
      </c>
      <c r="B130" s="1" t="str">
        <f>IFERROR(__xludf.DUMMYFUNCTION("""COMPUTED_VALUE"""),"Michael Hegwer")</f>
        <v>Michael Hegwer</v>
      </c>
      <c r="C130" s="1" t="str">
        <f>IFERROR(__xludf.DUMMYFUNCTION("""COMPUTED_VALUE"""),"Samuel")</f>
        <v>Samuel</v>
      </c>
      <c r="D130" s="2">
        <f>IFERROR(__xludf.DUMMYFUNCTION("""COMPUTED_VALUE"""),7.0)</f>
        <v>7</v>
      </c>
      <c r="E130" s="1" t="str">
        <f>IFERROR(__xludf.DUMMYFUNCTION("""COMPUTED_VALUE"""),"M")</f>
        <v>M</v>
      </c>
      <c r="F130" s="1" t="str">
        <f>IFERROR(__xludf.DUMMYFUNCTION("""COMPUTED_VALUE"""),"No, not Hispanic or Latino")</f>
        <v>No, not Hispanic or Latino</v>
      </c>
      <c r="G130" s="1" t="str">
        <f>IFERROR(__xludf.DUMMYFUNCTION("""COMPUTED_VALUE"""),"White")</f>
        <v>White</v>
      </c>
      <c r="H130" s="2">
        <f>IFERROR(__xludf.DUMMYFUNCTION("""COMPUTED_VALUE"""),1041.0)</f>
        <v>1041</v>
      </c>
      <c r="I130" s="1" t="str">
        <f>IFERROR(__xludf.DUMMYFUNCTION("""COMPUTED_VALUE"""),"001205")</f>
        <v>001205</v>
      </c>
      <c r="J130" s="3">
        <f>IFERROR(__xludf.DUMMYFUNCTION("""COMPUTED_VALUE"""),45524.0)</f>
        <v>45524</v>
      </c>
    </row>
    <row r="131">
      <c r="A131" s="1" t="str">
        <f>IFERROR(__xludf.DUMMYFUNCTION("""COMPUTED_VALUE"""),"5276457235")</f>
        <v>5276457235</v>
      </c>
      <c r="B131" s="1" t="str">
        <f>IFERROR(__xludf.DUMMYFUNCTION("""COMPUTED_VALUE"""),"Milener")</f>
        <v>Milener</v>
      </c>
      <c r="C131" s="1" t="str">
        <f>IFERROR(__xludf.DUMMYFUNCTION("""COMPUTED_VALUE"""),"Kennedy")</f>
        <v>Kennedy</v>
      </c>
      <c r="D131" s="2">
        <f>IFERROR(__xludf.DUMMYFUNCTION("""COMPUTED_VALUE"""),8.0)</f>
        <v>8</v>
      </c>
      <c r="E131" s="1" t="str">
        <f>IFERROR(__xludf.DUMMYFUNCTION("""COMPUTED_VALUE"""),"F")</f>
        <v>F</v>
      </c>
      <c r="F131" s="1" t="str">
        <f>IFERROR(__xludf.DUMMYFUNCTION("""COMPUTED_VALUE"""),"No, not Hispanic or Latino")</f>
        <v>No, not Hispanic or Latino</v>
      </c>
      <c r="G131" s="1" t="str">
        <f>IFERROR(__xludf.DUMMYFUNCTION("""COMPUTED_VALUE"""),"White")</f>
        <v>White</v>
      </c>
      <c r="H131" s="2">
        <f>IFERROR(__xludf.DUMMYFUNCTION("""COMPUTED_VALUE"""),1042.0)</f>
        <v>1042</v>
      </c>
      <c r="I131" s="1" t="str">
        <f>IFERROR(__xludf.DUMMYFUNCTION("""COMPUTED_VALUE"""),"001205")</f>
        <v>001205</v>
      </c>
      <c r="J131" s="3">
        <f>IFERROR(__xludf.DUMMYFUNCTION("""COMPUTED_VALUE"""),45524.0)</f>
        <v>45524</v>
      </c>
    </row>
    <row r="132">
      <c r="A132" s="1" t="str">
        <f>IFERROR(__xludf.DUMMYFUNCTION("""COMPUTED_VALUE"""),"4644648347")</f>
        <v>4644648347</v>
      </c>
      <c r="B132" s="1" t="str">
        <f>IFERROR(__xludf.DUMMYFUNCTION("""COMPUTED_VALUE"""),"Moore")</f>
        <v>Moore</v>
      </c>
      <c r="C132" s="1" t="str">
        <f>IFERROR(__xludf.DUMMYFUNCTION("""COMPUTED_VALUE"""),"Charlotte")</f>
        <v>Charlotte</v>
      </c>
      <c r="D132" s="2">
        <f>IFERROR(__xludf.DUMMYFUNCTION("""COMPUTED_VALUE"""),8.0)</f>
        <v>8</v>
      </c>
      <c r="E132" s="1" t="str">
        <f>IFERROR(__xludf.DUMMYFUNCTION("""COMPUTED_VALUE"""),"F")</f>
        <v>F</v>
      </c>
      <c r="F132" s="1" t="str">
        <f>IFERROR(__xludf.DUMMYFUNCTION("""COMPUTED_VALUE"""),"No, not Hispanic or Latino")</f>
        <v>No, not Hispanic or Latino</v>
      </c>
      <c r="G132" s="1" t="str">
        <f>IFERROR(__xludf.DUMMYFUNCTION("""COMPUTED_VALUE"""),"White")</f>
        <v>White</v>
      </c>
      <c r="H132" s="2">
        <f>IFERROR(__xludf.DUMMYFUNCTION("""COMPUTED_VALUE"""),1041.0)</f>
        <v>1041</v>
      </c>
      <c r="I132" s="1" t="str">
        <f>IFERROR(__xludf.DUMMYFUNCTION("""COMPUTED_VALUE"""),"001205")</f>
        <v>001205</v>
      </c>
      <c r="J132" s="3">
        <f>IFERROR(__xludf.DUMMYFUNCTION("""COMPUTED_VALUE"""),45524.0)</f>
        <v>45524</v>
      </c>
    </row>
    <row r="133">
      <c r="A133" s="1" t="str">
        <f>IFERROR(__xludf.DUMMYFUNCTION("""COMPUTED_VALUE"""),"9544940954")</f>
        <v>9544940954</v>
      </c>
      <c r="B133" s="1" t="str">
        <f>IFERROR(__xludf.DUMMYFUNCTION("""COMPUTED_VALUE"""),"Nadelberg")</f>
        <v>Nadelberg</v>
      </c>
      <c r="C133" s="1" t="str">
        <f>IFERROR(__xludf.DUMMYFUNCTION("""COMPUTED_VALUE"""),"Jakob")</f>
        <v>Jakob</v>
      </c>
      <c r="D133" s="2">
        <f>IFERROR(__xludf.DUMMYFUNCTION("""COMPUTED_VALUE"""),7.0)</f>
        <v>7</v>
      </c>
      <c r="E133" s="1" t="str">
        <f>IFERROR(__xludf.DUMMYFUNCTION("""COMPUTED_VALUE"""),"M")</f>
        <v>M</v>
      </c>
      <c r="F133" s="1" t="str">
        <f>IFERROR(__xludf.DUMMYFUNCTION("""COMPUTED_VALUE"""),"No, not Hispanic or Latino")</f>
        <v>No, not Hispanic or Latino</v>
      </c>
      <c r="G133" s="1" t="str">
        <f>IFERROR(__xludf.DUMMYFUNCTION("""COMPUTED_VALUE"""),"White")</f>
        <v>White</v>
      </c>
      <c r="H133" s="2">
        <f>IFERROR(__xludf.DUMMYFUNCTION("""COMPUTED_VALUE"""),1042.0)</f>
        <v>1042</v>
      </c>
      <c r="I133" s="1" t="str">
        <f>IFERROR(__xludf.DUMMYFUNCTION("""COMPUTED_VALUE"""),"001205")</f>
        <v>001205</v>
      </c>
      <c r="J133" s="3">
        <f>IFERROR(__xludf.DUMMYFUNCTION("""COMPUTED_VALUE"""),45524.0)</f>
        <v>45524</v>
      </c>
    </row>
    <row r="134">
      <c r="A134" s="1" t="str">
        <f>IFERROR(__xludf.DUMMYFUNCTION("""COMPUTED_VALUE"""),"4747144724")</f>
        <v>4747144724</v>
      </c>
      <c r="B134" s="1" t="str">
        <f>IFERROR(__xludf.DUMMYFUNCTION("""COMPUTED_VALUE"""),"O'Brien")</f>
        <v>O'Brien</v>
      </c>
      <c r="C134" s="1" t="str">
        <f>IFERROR(__xludf.DUMMYFUNCTION("""COMPUTED_VALUE"""),"Josephine")</f>
        <v>Josephine</v>
      </c>
      <c r="D134" s="2">
        <f>IFERROR(__xludf.DUMMYFUNCTION("""COMPUTED_VALUE"""),8.0)</f>
        <v>8</v>
      </c>
      <c r="E134" s="1" t="str">
        <f>IFERROR(__xludf.DUMMYFUNCTION("""COMPUTED_VALUE"""),"F")</f>
        <v>F</v>
      </c>
      <c r="F134" s="1" t="str">
        <f>IFERROR(__xludf.DUMMYFUNCTION("""COMPUTED_VALUE"""),"No, not Hispanic or Latino")</f>
        <v>No, not Hispanic or Latino</v>
      </c>
      <c r="G134" s="1" t="str">
        <f>IFERROR(__xludf.DUMMYFUNCTION("""COMPUTED_VALUE"""),"White")</f>
        <v>White</v>
      </c>
      <c r="H134" s="2">
        <f>IFERROR(__xludf.DUMMYFUNCTION("""COMPUTED_VALUE"""),1042.0)</f>
        <v>1042</v>
      </c>
      <c r="I134" s="1" t="str">
        <f>IFERROR(__xludf.DUMMYFUNCTION("""COMPUTED_VALUE"""),"001205")</f>
        <v>001205</v>
      </c>
      <c r="J134" s="3">
        <f>IFERROR(__xludf.DUMMYFUNCTION("""COMPUTED_VALUE"""),45524.0)</f>
        <v>45524</v>
      </c>
    </row>
    <row r="135">
      <c r="A135" s="1" t="str">
        <f>IFERROR(__xludf.DUMMYFUNCTION("""COMPUTED_VALUE"""),"2241936281")</f>
        <v>2241936281</v>
      </c>
      <c r="B135" s="1" t="str">
        <f>IFERROR(__xludf.DUMMYFUNCTION("""COMPUTED_VALUE"""),"O'Bryan")</f>
        <v>O'Bryan</v>
      </c>
      <c r="C135" s="1" t="str">
        <f>IFERROR(__xludf.DUMMYFUNCTION("""COMPUTED_VALUE"""),"Bianca")</f>
        <v>Bianca</v>
      </c>
      <c r="D135" s="2">
        <f>IFERROR(__xludf.DUMMYFUNCTION("""COMPUTED_VALUE"""),7.0)</f>
        <v>7</v>
      </c>
      <c r="E135" s="1" t="str">
        <f>IFERROR(__xludf.DUMMYFUNCTION("""COMPUTED_VALUE"""),"F")</f>
        <v>F</v>
      </c>
      <c r="F135" s="1" t="str">
        <f>IFERROR(__xludf.DUMMYFUNCTION("""COMPUTED_VALUE"""),"No, not Hispanic or Latino")</f>
        <v>No, not Hispanic or Latino</v>
      </c>
      <c r="G135" s="1" t="str">
        <f>IFERROR(__xludf.DUMMYFUNCTION("""COMPUTED_VALUE"""),"White")</f>
        <v>White</v>
      </c>
      <c r="H135" s="2">
        <f>IFERROR(__xludf.DUMMYFUNCTION("""COMPUTED_VALUE"""),1041.0)</f>
        <v>1041</v>
      </c>
      <c r="I135" s="1" t="str">
        <f>IFERROR(__xludf.DUMMYFUNCTION("""COMPUTED_VALUE"""),"001205")</f>
        <v>001205</v>
      </c>
      <c r="J135" s="3">
        <f>IFERROR(__xludf.DUMMYFUNCTION("""COMPUTED_VALUE"""),45524.0)</f>
        <v>45524</v>
      </c>
    </row>
    <row r="136">
      <c r="A136" s="1" t="str">
        <f>IFERROR(__xludf.DUMMYFUNCTION("""COMPUTED_VALUE"""),"5686477402")</f>
        <v>5686477402</v>
      </c>
      <c r="B136" s="1" t="str">
        <f>IFERROR(__xludf.DUMMYFUNCTION("""COMPUTED_VALUE"""),"Purvis")</f>
        <v>Purvis</v>
      </c>
      <c r="C136" s="1" t="str">
        <f>IFERROR(__xludf.DUMMYFUNCTION("""COMPUTED_VALUE"""),"Charlie")</f>
        <v>Charlie</v>
      </c>
      <c r="D136" s="2">
        <f>IFERROR(__xludf.DUMMYFUNCTION("""COMPUTED_VALUE"""),7.0)</f>
        <v>7</v>
      </c>
      <c r="E136" s="1" t="str">
        <f>IFERROR(__xludf.DUMMYFUNCTION("""COMPUTED_VALUE"""),"M")</f>
        <v>M</v>
      </c>
      <c r="F136" s="1" t="str">
        <f>IFERROR(__xludf.DUMMYFUNCTION("""COMPUTED_VALUE"""),"No, not Hispanic or Latino")</f>
        <v>No, not Hispanic or Latino</v>
      </c>
      <c r="G136" s="1" t="str">
        <f>IFERROR(__xludf.DUMMYFUNCTION("""COMPUTED_VALUE"""),"White")</f>
        <v>White</v>
      </c>
      <c r="H136" s="2">
        <f>IFERROR(__xludf.DUMMYFUNCTION("""COMPUTED_VALUE"""),1041.0)</f>
        <v>1041</v>
      </c>
      <c r="I136" s="1" t="str">
        <f>IFERROR(__xludf.DUMMYFUNCTION("""COMPUTED_VALUE"""),"001205")</f>
        <v>001205</v>
      </c>
      <c r="J136" s="3">
        <f>IFERROR(__xludf.DUMMYFUNCTION("""COMPUTED_VALUE"""),45524.0)</f>
        <v>45524</v>
      </c>
    </row>
    <row r="137">
      <c r="A137" s="1" t="str">
        <f>IFERROR(__xludf.DUMMYFUNCTION("""COMPUTED_VALUE"""),"5461090378")</f>
        <v>5461090378</v>
      </c>
      <c r="B137" s="1" t="str">
        <f>IFERROR(__xludf.DUMMYFUNCTION("""COMPUTED_VALUE"""),"Rajagopal")</f>
        <v>Rajagopal</v>
      </c>
      <c r="C137" s="1" t="str">
        <f>IFERROR(__xludf.DUMMYFUNCTION("""COMPUTED_VALUE"""),"Asha")</f>
        <v>Asha</v>
      </c>
      <c r="D137" s="2">
        <f>IFERROR(__xludf.DUMMYFUNCTION("""COMPUTED_VALUE"""),7.0)</f>
        <v>7</v>
      </c>
      <c r="E137" s="1" t="str">
        <f>IFERROR(__xludf.DUMMYFUNCTION("""COMPUTED_VALUE"""),"F")</f>
        <v>F</v>
      </c>
      <c r="F137" s="1" t="str">
        <f>IFERROR(__xludf.DUMMYFUNCTION("""COMPUTED_VALUE"""),"No, not Hispanic or Latino")</f>
        <v>No, not Hispanic or Latino</v>
      </c>
      <c r="G137" s="1" t="str">
        <f>IFERROR(__xludf.DUMMYFUNCTION("""COMPUTED_VALUE"""),"White")</f>
        <v>White</v>
      </c>
      <c r="H137" s="2">
        <f>IFERROR(__xludf.DUMMYFUNCTION("""COMPUTED_VALUE"""),1042.0)</f>
        <v>1042</v>
      </c>
      <c r="I137" s="1" t="str">
        <f>IFERROR(__xludf.DUMMYFUNCTION("""COMPUTED_VALUE"""),"001205")</f>
        <v>001205</v>
      </c>
      <c r="J137" s="3">
        <f>IFERROR(__xludf.DUMMYFUNCTION("""COMPUTED_VALUE"""),45524.0)</f>
        <v>45524</v>
      </c>
    </row>
    <row r="138">
      <c r="A138" s="1" t="str">
        <f>IFERROR(__xludf.DUMMYFUNCTION("""COMPUTED_VALUE"""),"6362028213")</f>
        <v>6362028213</v>
      </c>
      <c r="B138" s="1" t="str">
        <f>IFERROR(__xludf.DUMMYFUNCTION("""COMPUTED_VALUE"""),"Rhodes")</f>
        <v>Rhodes</v>
      </c>
      <c r="C138" s="1" t="str">
        <f>IFERROR(__xludf.DUMMYFUNCTION("""COMPUTED_VALUE"""),"McKenzie")</f>
        <v>McKenzie</v>
      </c>
      <c r="D138" s="2">
        <f>IFERROR(__xludf.DUMMYFUNCTION("""COMPUTED_VALUE"""),7.0)</f>
        <v>7</v>
      </c>
      <c r="E138" s="1" t="str">
        <f>IFERROR(__xludf.DUMMYFUNCTION("""COMPUTED_VALUE"""),"F")</f>
        <v>F</v>
      </c>
      <c r="F138" s="1" t="str">
        <f>IFERROR(__xludf.DUMMYFUNCTION("""COMPUTED_VALUE"""),"No, not Hispanic or Latino")</f>
        <v>No, not Hispanic or Latino</v>
      </c>
      <c r="G138" s="1" t="str">
        <f>IFERROR(__xludf.DUMMYFUNCTION("""COMPUTED_VALUE"""),"White")</f>
        <v>White</v>
      </c>
      <c r="H138" s="2">
        <f>IFERROR(__xludf.DUMMYFUNCTION("""COMPUTED_VALUE"""),1042.0)</f>
        <v>1042</v>
      </c>
      <c r="I138" s="1" t="str">
        <f>IFERROR(__xludf.DUMMYFUNCTION("""COMPUTED_VALUE"""),"001205")</f>
        <v>001205</v>
      </c>
      <c r="J138" s="3">
        <f>IFERROR(__xludf.DUMMYFUNCTION("""COMPUTED_VALUE"""),45524.0)</f>
        <v>45524</v>
      </c>
    </row>
    <row r="139">
      <c r="A139" s="1" t="str">
        <f>IFERROR(__xludf.DUMMYFUNCTION("""COMPUTED_VALUE"""),"1391410080")</f>
        <v>1391410080</v>
      </c>
      <c r="B139" s="1" t="str">
        <f>IFERROR(__xludf.DUMMYFUNCTION("""COMPUTED_VALUE"""),"Rogers")</f>
        <v>Rogers</v>
      </c>
      <c r="C139" s="1" t="str">
        <f>IFERROR(__xludf.DUMMYFUNCTION("""COMPUTED_VALUE"""),"Kal")</f>
        <v>Kal</v>
      </c>
      <c r="D139" s="2">
        <f>IFERROR(__xludf.DUMMYFUNCTION("""COMPUTED_VALUE"""),8.0)</f>
        <v>8</v>
      </c>
      <c r="E139" s="1" t="str">
        <f>IFERROR(__xludf.DUMMYFUNCTION("""COMPUTED_VALUE"""),"M")</f>
        <v>M</v>
      </c>
      <c r="F139" s="1" t="str">
        <f>IFERROR(__xludf.DUMMYFUNCTION("""COMPUTED_VALUE"""),"No, not Hispanic or Latino")</f>
        <v>No, not Hispanic or Latino</v>
      </c>
      <c r="G139" s="1" t="str">
        <f>IFERROR(__xludf.DUMMYFUNCTION("""COMPUTED_VALUE"""),"White")</f>
        <v>White</v>
      </c>
      <c r="H139" s="2">
        <f>IFERROR(__xludf.DUMMYFUNCTION("""COMPUTED_VALUE"""),1041.0)</f>
        <v>1041</v>
      </c>
      <c r="I139" s="1" t="str">
        <f>IFERROR(__xludf.DUMMYFUNCTION("""COMPUTED_VALUE"""),"001205")</f>
        <v>001205</v>
      </c>
      <c r="J139" s="3">
        <f>IFERROR(__xludf.DUMMYFUNCTION("""COMPUTED_VALUE"""),45524.0)</f>
        <v>45524</v>
      </c>
    </row>
    <row r="140">
      <c r="A140" s="1" t="str">
        <f>IFERROR(__xludf.DUMMYFUNCTION("""COMPUTED_VALUE"""),"7743121356")</f>
        <v>7743121356</v>
      </c>
      <c r="B140" s="1" t="str">
        <f>IFERROR(__xludf.DUMMYFUNCTION("""COMPUTED_VALUE"""),"Sajche")</f>
        <v>Sajche</v>
      </c>
      <c r="C140" s="1" t="str">
        <f>IFERROR(__xludf.DUMMYFUNCTION("""COMPUTED_VALUE"""),"Astrid")</f>
        <v>Astrid</v>
      </c>
      <c r="D140" s="2">
        <f>IFERROR(__xludf.DUMMYFUNCTION("""COMPUTED_VALUE"""),8.0)</f>
        <v>8</v>
      </c>
      <c r="E140" s="1" t="str">
        <f>IFERROR(__xludf.DUMMYFUNCTION("""COMPUTED_VALUE"""),"F")</f>
        <v>F</v>
      </c>
      <c r="F140" s="1" t="str">
        <f>IFERROR(__xludf.DUMMYFUNCTION("""COMPUTED_VALUE"""),"Yes, Hispanic or Latino")</f>
        <v>Yes, Hispanic or Latino</v>
      </c>
      <c r="G140" s="1" t="str">
        <f>IFERROR(__xludf.DUMMYFUNCTION("""COMPUTED_VALUE"""),"White")</f>
        <v>White</v>
      </c>
      <c r="H140" s="2">
        <f>IFERROR(__xludf.DUMMYFUNCTION("""COMPUTED_VALUE"""),1041.0)</f>
        <v>1041</v>
      </c>
      <c r="I140" s="1" t="str">
        <f>IFERROR(__xludf.DUMMYFUNCTION("""COMPUTED_VALUE"""),"001205")</f>
        <v>001205</v>
      </c>
      <c r="J140" s="3">
        <f>IFERROR(__xludf.DUMMYFUNCTION("""COMPUTED_VALUE"""),45524.0)</f>
        <v>45524</v>
      </c>
    </row>
    <row r="141">
      <c r="A141" s="1" t="str">
        <f>IFERROR(__xludf.DUMMYFUNCTION("""COMPUTED_VALUE"""),"6903093778")</f>
        <v>6903093778</v>
      </c>
      <c r="B141" s="1" t="str">
        <f>IFERROR(__xludf.DUMMYFUNCTION("""COMPUTED_VALUE"""),"Sankey")</f>
        <v>Sankey</v>
      </c>
      <c r="C141" s="1" t="str">
        <f>IFERROR(__xludf.DUMMYFUNCTION("""COMPUTED_VALUE"""),"Seda")</f>
        <v>Seda</v>
      </c>
      <c r="D141" s="2">
        <f>IFERROR(__xludf.DUMMYFUNCTION("""COMPUTED_VALUE"""),8.0)</f>
        <v>8</v>
      </c>
      <c r="E141" s="1" t="str">
        <f>IFERROR(__xludf.DUMMYFUNCTION("""COMPUTED_VALUE"""),"F")</f>
        <v>F</v>
      </c>
      <c r="F141" s="1" t="str">
        <f>IFERROR(__xludf.DUMMYFUNCTION("""COMPUTED_VALUE"""),"No, not Hispanic or Latino")</f>
        <v>No, not Hispanic or Latino</v>
      </c>
      <c r="G141" s="1" t="str">
        <f>IFERROR(__xludf.DUMMYFUNCTION("""COMPUTED_VALUE"""),"Filipino")</f>
        <v>Filipino</v>
      </c>
      <c r="H141" s="2">
        <f>IFERROR(__xludf.DUMMYFUNCTION("""COMPUTED_VALUE"""),1042.0)</f>
        <v>1042</v>
      </c>
      <c r="I141" s="1" t="str">
        <f>IFERROR(__xludf.DUMMYFUNCTION("""COMPUTED_VALUE"""),"001205")</f>
        <v>001205</v>
      </c>
      <c r="J141" s="3">
        <f>IFERROR(__xludf.DUMMYFUNCTION("""COMPUTED_VALUE"""),45524.0)</f>
        <v>45524</v>
      </c>
    </row>
    <row r="142">
      <c r="A142" s="1" t="str">
        <f>IFERROR(__xludf.DUMMYFUNCTION("""COMPUTED_VALUE"""),"6956473559")</f>
        <v>6956473559</v>
      </c>
      <c r="B142" s="1" t="str">
        <f>IFERROR(__xludf.DUMMYFUNCTION("""COMPUTED_VALUE"""),"Shumaker")</f>
        <v>Shumaker</v>
      </c>
      <c r="C142" s="1" t="str">
        <f>IFERROR(__xludf.DUMMYFUNCTION("""COMPUTED_VALUE"""),"Andrew")</f>
        <v>Andrew</v>
      </c>
      <c r="D142" s="2">
        <f>IFERROR(__xludf.DUMMYFUNCTION("""COMPUTED_VALUE"""),8.0)</f>
        <v>8</v>
      </c>
      <c r="E142" s="1" t="str">
        <f>IFERROR(__xludf.DUMMYFUNCTION("""COMPUTED_VALUE"""),"M")</f>
        <v>M</v>
      </c>
      <c r="F142" s="1" t="str">
        <f>IFERROR(__xludf.DUMMYFUNCTION("""COMPUTED_VALUE"""),"No, not Hispanic or Latino")</f>
        <v>No, not Hispanic or Latino</v>
      </c>
      <c r="G142" s="1" t="str">
        <f>IFERROR(__xludf.DUMMYFUNCTION("""COMPUTED_VALUE"""),"White")</f>
        <v>White</v>
      </c>
      <c r="H142" s="2">
        <f>IFERROR(__xludf.DUMMYFUNCTION("""COMPUTED_VALUE"""),1042.0)</f>
        <v>1042</v>
      </c>
      <c r="I142" s="1" t="str">
        <f>IFERROR(__xludf.DUMMYFUNCTION("""COMPUTED_VALUE"""),"001205")</f>
        <v>001205</v>
      </c>
      <c r="J142" s="3">
        <f>IFERROR(__xludf.DUMMYFUNCTION("""COMPUTED_VALUE"""),45524.0)</f>
        <v>45524</v>
      </c>
    </row>
    <row r="143">
      <c r="A143" s="1" t="str">
        <f>IFERROR(__xludf.DUMMYFUNCTION("""COMPUTED_VALUE"""),"9147086166")</f>
        <v>9147086166</v>
      </c>
      <c r="B143" s="1" t="str">
        <f>IFERROR(__xludf.DUMMYFUNCTION("""COMPUTED_VALUE"""),"Shuman")</f>
        <v>Shuman</v>
      </c>
      <c r="C143" s="1" t="str">
        <f>IFERROR(__xludf.DUMMYFUNCTION("""COMPUTED_VALUE"""),"Eli")</f>
        <v>Eli</v>
      </c>
      <c r="D143" s="2">
        <f>IFERROR(__xludf.DUMMYFUNCTION("""COMPUTED_VALUE"""),8.0)</f>
        <v>8</v>
      </c>
      <c r="E143" s="1" t="str">
        <f>IFERROR(__xludf.DUMMYFUNCTION("""COMPUTED_VALUE"""),"M")</f>
        <v>M</v>
      </c>
      <c r="F143" s="1" t="str">
        <f>IFERROR(__xludf.DUMMYFUNCTION("""COMPUTED_VALUE"""),"No, not Hispanic or Latino")</f>
        <v>No, not Hispanic or Latino</v>
      </c>
      <c r="G143" s="1" t="str">
        <f>IFERROR(__xludf.DUMMYFUNCTION("""COMPUTED_VALUE"""),"White")</f>
        <v>White</v>
      </c>
      <c r="H143" s="2">
        <f>IFERROR(__xludf.DUMMYFUNCTION("""COMPUTED_VALUE"""),1042.0)</f>
        <v>1042</v>
      </c>
      <c r="I143" s="1" t="str">
        <f>IFERROR(__xludf.DUMMYFUNCTION("""COMPUTED_VALUE"""),"001205")</f>
        <v>001205</v>
      </c>
      <c r="J143" s="3">
        <f>IFERROR(__xludf.DUMMYFUNCTION("""COMPUTED_VALUE"""),45524.0)</f>
        <v>45524</v>
      </c>
    </row>
    <row r="144">
      <c r="A144" s="1" t="str">
        <f>IFERROR(__xludf.DUMMYFUNCTION("""COMPUTED_VALUE"""),"2272691597")</f>
        <v>2272691597</v>
      </c>
      <c r="B144" s="1" t="str">
        <f>IFERROR(__xludf.DUMMYFUNCTION("""COMPUTED_VALUE"""),"Snekkevik")</f>
        <v>Snekkevik</v>
      </c>
      <c r="C144" s="1" t="str">
        <f>IFERROR(__xludf.DUMMYFUNCTION("""COMPUTED_VALUE"""),"Eric")</f>
        <v>Eric</v>
      </c>
      <c r="D144" s="2">
        <f>IFERROR(__xludf.DUMMYFUNCTION("""COMPUTED_VALUE"""),8.0)</f>
        <v>8</v>
      </c>
      <c r="E144" s="1" t="str">
        <f>IFERROR(__xludf.DUMMYFUNCTION("""COMPUTED_VALUE"""),"M")</f>
        <v>M</v>
      </c>
      <c r="F144" s="1" t="str">
        <f>IFERROR(__xludf.DUMMYFUNCTION("""COMPUTED_VALUE"""),"No, not Hispanic or Latino")</f>
        <v>No, not Hispanic or Latino</v>
      </c>
      <c r="G144" s="1" t="str">
        <f>IFERROR(__xludf.DUMMYFUNCTION("""COMPUTED_VALUE"""),"White")</f>
        <v>White</v>
      </c>
      <c r="H144" s="2">
        <f>IFERROR(__xludf.DUMMYFUNCTION("""COMPUTED_VALUE"""),1041.0)</f>
        <v>1041</v>
      </c>
      <c r="I144" s="1" t="str">
        <f>IFERROR(__xludf.DUMMYFUNCTION("""COMPUTED_VALUE"""),"001205")</f>
        <v>001205</v>
      </c>
      <c r="J144" s="3">
        <f>IFERROR(__xludf.DUMMYFUNCTION("""COMPUTED_VALUE"""),45524.0)</f>
        <v>45524</v>
      </c>
    </row>
    <row r="145">
      <c r="A145" s="1" t="str">
        <f>IFERROR(__xludf.DUMMYFUNCTION("""COMPUTED_VALUE"""),"6965508161")</f>
        <v>6965508161</v>
      </c>
      <c r="B145" s="1" t="str">
        <f>IFERROR(__xludf.DUMMYFUNCTION("""COMPUTED_VALUE"""),"Snekkevik")</f>
        <v>Snekkevik</v>
      </c>
      <c r="C145" s="1" t="str">
        <f>IFERROR(__xludf.DUMMYFUNCTION("""COMPUTED_VALUE"""),"Jakob")</f>
        <v>Jakob</v>
      </c>
      <c r="D145" s="2">
        <f>IFERROR(__xludf.DUMMYFUNCTION("""COMPUTED_VALUE"""),8.0)</f>
        <v>8</v>
      </c>
      <c r="E145" s="1" t="str">
        <f>IFERROR(__xludf.DUMMYFUNCTION("""COMPUTED_VALUE"""),"M")</f>
        <v>M</v>
      </c>
      <c r="F145" s="1" t="str">
        <f>IFERROR(__xludf.DUMMYFUNCTION("""COMPUTED_VALUE"""),"No, not Hispanic or Latino")</f>
        <v>No, not Hispanic or Latino</v>
      </c>
      <c r="G145" s="1" t="str">
        <f>IFERROR(__xludf.DUMMYFUNCTION("""COMPUTED_VALUE"""),"White")</f>
        <v>White</v>
      </c>
      <c r="H145" s="2">
        <f>IFERROR(__xludf.DUMMYFUNCTION("""COMPUTED_VALUE"""),1042.0)</f>
        <v>1042</v>
      </c>
      <c r="I145" s="1" t="str">
        <f>IFERROR(__xludf.DUMMYFUNCTION("""COMPUTED_VALUE"""),"001205")</f>
        <v>001205</v>
      </c>
      <c r="J145" s="3">
        <f>IFERROR(__xludf.DUMMYFUNCTION("""COMPUTED_VALUE"""),45524.0)</f>
        <v>45524</v>
      </c>
    </row>
    <row r="146">
      <c r="A146" s="1" t="str">
        <f>IFERROR(__xludf.DUMMYFUNCTION("""COMPUTED_VALUE"""),"8184328277")</f>
        <v>8184328277</v>
      </c>
      <c r="B146" s="1" t="str">
        <f>IFERROR(__xludf.DUMMYFUNCTION("""COMPUTED_VALUE"""),"Sordoillet")</f>
        <v>Sordoillet</v>
      </c>
      <c r="C146" s="1" t="str">
        <f>IFERROR(__xludf.DUMMYFUNCTION("""COMPUTED_VALUE"""),"Lili")</f>
        <v>Lili</v>
      </c>
      <c r="D146" s="2">
        <f>IFERROR(__xludf.DUMMYFUNCTION("""COMPUTED_VALUE"""),7.0)</f>
        <v>7</v>
      </c>
      <c r="E146" s="1" t="str">
        <f>IFERROR(__xludf.DUMMYFUNCTION("""COMPUTED_VALUE"""),"F")</f>
        <v>F</v>
      </c>
      <c r="F146" s="1" t="str">
        <f>IFERROR(__xludf.DUMMYFUNCTION("""COMPUTED_VALUE"""),"No, not Hispanic or Latino")</f>
        <v>No, not Hispanic or Latino</v>
      </c>
      <c r="G146" s="1" t="str">
        <f>IFERROR(__xludf.DUMMYFUNCTION("""COMPUTED_VALUE"""),"White")</f>
        <v>White</v>
      </c>
      <c r="H146" s="2">
        <f>IFERROR(__xludf.DUMMYFUNCTION("""COMPUTED_VALUE"""),1041.0)</f>
        <v>1041</v>
      </c>
      <c r="I146" s="1" t="str">
        <f>IFERROR(__xludf.DUMMYFUNCTION("""COMPUTED_VALUE"""),"001205")</f>
        <v>001205</v>
      </c>
      <c r="J146" s="3">
        <f>IFERROR(__xludf.DUMMYFUNCTION("""COMPUTED_VALUE"""),45524.0)</f>
        <v>45524</v>
      </c>
    </row>
    <row r="147">
      <c r="A147" s="1" t="str">
        <f>IFERROR(__xludf.DUMMYFUNCTION("""COMPUTED_VALUE"""),"7367834845")</f>
        <v>7367834845</v>
      </c>
      <c r="B147" s="1" t="str">
        <f>IFERROR(__xludf.DUMMYFUNCTION("""COMPUTED_VALUE"""),"Stewart")</f>
        <v>Stewart</v>
      </c>
      <c r="C147" s="1" t="str">
        <f>IFERROR(__xludf.DUMMYFUNCTION("""COMPUTED_VALUE"""),"Piper")</f>
        <v>Piper</v>
      </c>
      <c r="D147" s="2">
        <f>IFERROR(__xludf.DUMMYFUNCTION("""COMPUTED_VALUE"""),8.0)</f>
        <v>8</v>
      </c>
      <c r="E147" s="1" t="str">
        <f>IFERROR(__xludf.DUMMYFUNCTION("""COMPUTED_VALUE"""),"F")</f>
        <v>F</v>
      </c>
      <c r="F147" s="1" t="str">
        <f>IFERROR(__xludf.DUMMYFUNCTION("""COMPUTED_VALUE"""),"No, not Hispanic or Latino")</f>
        <v>No, not Hispanic or Latino</v>
      </c>
      <c r="G147" s="1" t="str">
        <f>IFERROR(__xludf.DUMMYFUNCTION("""COMPUTED_VALUE"""),"White")</f>
        <v>White</v>
      </c>
      <c r="H147" s="2">
        <f>IFERROR(__xludf.DUMMYFUNCTION("""COMPUTED_VALUE"""),1042.0)</f>
        <v>1042</v>
      </c>
      <c r="I147" s="1" t="str">
        <f>IFERROR(__xludf.DUMMYFUNCTION("""COMPUTED_VALUE"""),"001205")</f>
        <v>001205</v>
      </c>
      <c r="J147" s="3">
        <f>IFERROR(__xludf.DUMMYFUNCTION("""COMPUTED_VALUE"""),45524.0)</f>
        <v>45524</v>
      </c>
    </row>
    <row r="148">
      <c r="A148" s="1" t="str">
        <f>IFERROR(__xludf.DUMMYFUNCTION("""COMPUTED_VALUE"""),"3925237195")</f>
        <v>3925237195</v>
      </c>
      <c r="B148" s="1" t="str">
        <f>IFERROR(__xludf.DUMMYFUNCTION("""COMPUTED_VALUE"""),"Troy")</f>
        <v>Troy</v>
      </c>
      <c r="C148" s="1" t="str">
        <f>IFERROR(__xludf.DUMMYFUNCTION("""COMPUTED_VALUE"""),"Madison")</f>
        <v>Madison</v>
      </c>
      <c r="D148" s="2">
        <f>IFERROR(__xludf.DUMMYFUNCTION("""COMPUTED_VALUE"""),8.0)</f>
        <v>8</v>
      </c>
      <c r="E148" s="1" t="str">
        <f>IFERROR(__xludf.DUMMYFUNCTION("""COMPUTED_VALUE"""),"F")</f>
        <v>F</v>
      </c>
      <c r="F148" s="1" t="str">
        <f>IFERROR(__xludf.DUMMYFUNCTION("""COMPUTED_VALUE"""),"No, not Hispanic or Latino")</f>
        <v>No, not Hispanic or Latino</v>
      </c>
      <c r="G148" s="1" t="str">
        <f>IFERROR(__xludf.DUMMYFUNCTION("""COMPUTED_VALUE"""),"White")</f>
        <v>White</v>
      </c>
      <c r="H148" s="2">
        <f>IFERROR(__xludf.DUMMYFUNCTION("""COMPUTED_VALUE"""),1042.0)</f>
        <v>1042</v>
      </c>
      <c r="I148" s="1" t="str">
        <f>IFERROR(__xludf.DUMMYFUNCTION("""COMPUTED_VALUE"""),"001205")</f>
        <v>001205</v>
      </c>
      <c r="J148" s="3">
        <f>IFERROR(__xludf.DUMMYFUNCTION("""COMPUTED_VALUE"""),45524.0)</f>
        <v>45524</v>
      </c>
    </row>
    <row r="149">
      <c r="A149" s="1" t="str">
        <f>IFERROR(__xludf.DUMMYFUNCTION("""COMPUTED_VALUE"""),"7192429953")</f>
        <v>7192429953</v>
      </c>
      <c r="B149" s="1" t="str">
        <f>IFERROR(__xludf.DUMMYFUNCTION("""COMPUTED_VALUE"""),"Vail")</f>
        <v>Vail</v>
      </c>
      <c r="C149" s="1" t="str">
        <f>IFERROR(__xludf.DUMMYFUNCTION("""COMPUTED_VALUE"""),"Adelaide")</f>
        <v>Adelaide</v>
      </c>
      <c r="D149" s="2">
        <f>IFERROR(__xludf.DUMMYFUNCTION("""COMPUTED_VALUE"""),7.0)</f>
        <v>7</v>
      </c>
      <c r="E149" s="1" t="str">
        <f>IFERROR(__xludf.DUMMYFUNCTION("""COMPUTED_VALUE"""),"F")</f>
        <v>F</v>
      </c>
      <c r="F149" s="1" t="str">
        <f>IFERROR(__xludf.DUMMYFUNCTION("""COMPUTED_VALUE"""),"No, not Hispanic or Latino")</f>
        <v>No, not Hispanic or Latino</v>
      </c>
      <c r="G149" s="1" t="str">
        <f>IFERROR(__xludf.DUMMYFUNCTION("""COMPUTED_VALUE"""),"White")</f>
        <v>White</v>
      </c>
      <c r="H149" s="2">
        <f>IFERROR(__xludf.DUMMYFUNCTION("""COMPUTED_VALUE"""),1041.0)</f>
        <v>1041</v>
      </c>
      <c r="I149" s="1" t="str">
        <f>IFERROR(__xludf.DUMMYFUNCTION("""COMPUTED_VALUE"""),"001205")</f>
        <v>001205</v>
      </c>
      <c r="J149" s="3">
        <f>IFERROR(__xludf.DUMMYFUNCTION("""COMPUTED_VALUE"""),45524.0)</f>
        <v>45524</v>
      </c>
    </row>
    <row r="150">
      <c r="A150" s="1" t="str">
        <f>IFERROR(__xludf.DUMMYFUNCTION("""COMPUTED_VALUE"""),"7056851646")</f>
        <v>7056851646</v>
      </c>
      <c r="B150" s="1" t="str">
        <f>IFERROR(__xludf.DUMMYFUNCTION("""COMPUTED_VALUE"""),"Vilar")</f>
        <v>Vilar</v>
      </c>
      <c r="C150" s="1" t="str">
        <f>IFERROR(__xludf.DUMMYFUNCTION("""COMPUTED_VALUE"""),"Paula")</f>
        <v>Paula</v>
      </c>
      <c r="D150" s="2">
        <f>IFERROR(__xludf.DUMMYFUNCTION("""COMPUTED_VALUE"""),8.0)</f>
        <v>8</v>
      </c>
      <c r="E150" s="1" t="str">
        <f>IFERROR(__xludf.DUMMYFUNCTION("""COMPUTED_VALUE"""),"F")</f>
        <v>F</v>
      </c>
      <c r="F150" s="1" t="str">
        <f>IFERROR(__xludf.DUMMYFUNCTION("""COMPUTED_VALUE"""),"No, not Hispanic or Latino")</f>
        <v>No, not Hispanic or Latino</v>
      </c>
      <c r="G150" s="1" t="str">
        <f>IFERROR(__xludf.DUMMYFUNCTION("""COMPUTED_VALUE"""),"White")</f>
        <v>White</v>
      </c>
      <c r="H150" s="2">
        <f>IFERROR(__xludf.DUMMYFUNCTION("""COMPUTED_VALUE"""),1042.0)</f>
        <v>1042</v>
      </c>
      <c r="I150" s="1" t="str">
        <f>IFERROR(__xludf.DUMMYFUNCTION("""COMPUTED_VALUE"""),"001205")</f>
        <v>001205</v>
      </c>
      <c r="J150" s="3">
        <f>IFERROR(__xludf.DUMMYFUNCTION("""COMPUTED_VALUE"""),45524.0)</f>
        <v>45524</v>
      </c>
    </row>
    <row r="151">
      <c r="A151" s="1" t="str">
        <f>IFERROR(__xludf.DUMMYFUNCTION("""COMPUTED_VALUE"""),"7571139412")</f>
        <v>7571139412</v>
      </c>
      <c r="B151" s="1" t="str">
        <f>IFERROR(__xludf.DUMMYFUNCTION("""COMPUTED_VALUE"""),"Wallen")</f>
        <v>Wallen</v>
      </c>
      <c r="C151" s="1" t="str">
        <f>IFERROR(__xludf.DUMMYFUNCTION("""COMPUTED_VALUE"""),"Ella")</f>
        <v>Ella</v>
      </c>
      <c r="D151" s="2">
        <f>IFERROR(__xludf.DUMMYFUNCTION("""COMPUTED_VALUE"""),7.0)</f>
        <v>7</v>
      </c>
      <c r="E151" s="1" t="str">
        <f>IFERROR(__xludf.DUMMYFUNCTION("""COMPUTED_VALUE"""),"F")</f>
        <v>F</v>
      </c>
      <c r="F151" s="1" t="str">
        <f>IFERROR(__xludf.DUMMYFUNCTION("""COMPUTED_VALUE"""),"No, not Hispanic or Latino")</f>
        <v>No, not Hispanic or Latino</v>
      </c>
      <c r="G151" s="1" t="str">
        <f>IFERROR(__xludf.DUMMYFUNCTION("""COMPUTED_VALUE"""),"White")</f>
        <v>White</v>
      </c>
      <c r="H151" s="2">
        <f>IFERROR(__xludf.DUMMYFUNCTION("""COMPUTED_VALUE"""),1041.0)</f>
        <v>1041</v>
      </c>
      <c r="I151" s="1" t="str">
        <f>IFERROR(__xludf.DUMMYFUNCTION("""COMPUTED_VALUE"""),"001205")</f>
        <v>001205</v>
      </c>
      <c r="J151" s="3">
        <f>IFERROR(__xludf.DUMMYFUNCTION("""COMPUTED_VALUE"""),45524.0)</f>
        <v>45524</v>
      </c>
    </row>
    <row r="152">
      <c r="A152" s="1" t="str">
        <f>IFERROR(__xludf.DUMMYFUNCTION("""COMPUTED_VALUE"""),"4029694582")</f>
        <v>4029694582</v>
      </c>
      <c r="B152" s="1" t="str">
        <f>IFERROR(__xludf.DUMMYFUNCTION("""COMPUTED_VALUE"""),"Williams")</f>
        <v>Williams</v>
      </c>
      <c r="C152" s="1" t="str">
        <f>IFERROR(__xludf.DUMMYFUNCTION("""COMPUTED_VALUE"""),"Taylor")</f>
        <v>Taylor</v>
      </c>
      <c r="D152" s="2">
        <f>IFERROR(__xludf.DUMMYFUNCTION("""COMPUTED_VALUE"""),8.0)</f>
        <v>8</v>
      </c>
      <c r="E152" s="1" t="str">
        <f>IFERROR(__xludf.DUMMYFUNCTION("""COMPUTED_VALUE"""),"F")</f>
        <v>F</v>
      </c>
      <c r="F152" s="1" t="str">
        <f>IFERROR(__xludf.DUMMYFUNCTION("""COMPUTED_VALUE"""),"No, not Hispanic or Latino")</f>
        <v>No, not Hispanic or Latino</v>
      </c>
      <c r="G152" s="1" t="str">
        <f>IFERROR(__xludf.DUMMYFUNCTION("""COMPUTED_VALUE"""),"White")</f>
        <v>White</v>
      </c>
      <c r="H152" s="2">
        <f>IFERROR(__xludf.DUMMYFUNCTION("""COMPUTED_VALUE"""),1042.0)</f>
        <v>1042</v>
      </c>
      <c r="I152" s="1" t="str">
        <f>IFERROR(__xludf.DUMMYFUNCTION("""COMPUTED_VALUE"""),"001205")</f>
        <v>001205</v>
      </c>
      <c r="J152" s="3">
        <f>IFERROR(__xludf.DUMMYFUNCTION("""COMPUTED_VALUE"""),45524.0)</f>
        <v>45524</v>
      </c>
    </row>
    <row r="153">
      <c r="A153" s="1" t="str">
        <f>IFERROR(__xludf.DUMMYFUNCTION("""COMPUTED_VALUE"""),"9051069126")</f>
        <v>9051069126</v>
      </c>
      <c r="B153" s="1" t="str">
        <f>IFERROR(__xludf.DUMMYFUNCTION("""COMPUTED_VALUE"""),"Yu")</f>
        <v>Yu</v>
      </c>
      <c r="C153" s="1" t="str">
        <f>IFERROR(__xludf.DUMMYFUNCTION("""COMPUTED_VALUE"""),"Nicholas")</f>
        <v>Nicholas</v>
      </c>
      <c r="D153" s="2">
        <f>IFERROR(__xludf.DUMMYFUNCTION("""COMPUTED_VALUE"""),7.0)</f>
        <v>7</v>
      </c>
      <c r="E153" s="1" t="str">
        <f>IFERROR(__xludf.DUMMYFUNCTION("""COMPUTED_VALUE"""),"M")</f>
        <v>M</v>
      </c>
      <c r="F153" s="1" t="str">
        <f>IFERROR(__xludf.DUMMYFUNCTION("""COMPUTED_VALUE"""),"No, not Hispanic or Latino")</f>
        <v>No, not Hispanic or Latino</v>
      </c>
      <c r="G153" s="1" t="str">
        <f>IFERROR(__xludf.DUMMYFUNCTION("""COMPUTED_VALUE"""),"Chinese")</f>
        <v>Chinese</v>
      </c>
      <c r="H153" s="2">
        <f>IFERROR(__xludf.DUMMYFUNCTION("""COMPUTED_VALUE"""),1041.0)</f>
        <v>1041</v>
      </c>
      <c r="I153" s="1" t="str">
        <f>IFERROR(__xludf.DUMMYFUNCTION("""COMPUTED_VALUE"""),"001205")</f>
        <v>001205</v>
      </c>
      <c r="J153" s="3">
        <f>IFERROR(__xludf.DUMMYFUNCTION("""COMPUTED_VALUE"""),45524.0)</f>
        <v>45524</v>
      </c>
    </row>
    <row r="154">
      <c r="A154" s="1" t="str">
        <f>IFERROR(__xludf.DUMMYFUNCTION("""COMPUTED_VALUE"""),"3982714558")</f>
        <v>3982714558</v>
      </c>
      <c r="B154" s="1" t="str">
        <f>IFERROR(__xludf.DUMMYFUNCTION("""COMPUTED_VALUE"""),"Abplanalp-Cowan")</f>
        <v>Abplanalp-Cowan</v>
      </c>
      <c r="C154" s="1" t="str">
        <f>IFERROR(__xludf.DUMMYFUNCTION("""COMPUTED_VALUE"""),"Rion")</f>
        <v>Rion</v>
      </c>
      <c r="D154" s="2">
        <f>IFERROR(__xludf.DUMMYFUNCTION("""COMPUTED_VALUE"""),8.0)</f>
        <v>8</v>
      </c>
      <c r="E154" s="1" t="str">
        <f>IFERROR(__xludf.DUMMYFUNCTION("""COMPUTED_VALUE"""),"F")</f>
        <v>F</v>
      </c>
      <c r="F154" s="1" t="str">
        <f>IFERROR(__xludf.DUMMYFUNCTION("""COMPUTED_VALUE"""),"No, not Hispanic or Latino")</f>
        <v>No, not Hispanic or Latino</v>
      </c>
      <c r="G154" s="1" t="str">
        <f>IFERROR(__xludf.DUMMYFUNCTION("""COMPUTED_VALUE"""),"Black or African American")</f>
        <v>Black or African American</v>
      </c>
      <c r="H154" s="2">
        <f>IFERROR(__xludf.DUMMYFUNCTION("""COMPUTED_VALUE"""),1064.0)</f>
        <v>1064</v>
      </c>
      <c r="I154" s="1" t="str">
        <f>IFERROR(__xludf.DUMMYFUNCTION("""COMPUTED_VALUE"""),"001205")</f>
        <v>001205</v>
      </c>
      <c r="J154" s="3">
        <f>IFERROR(__xludf.DUMMYFUNCTION("""COMPUTED_VALUE"""),45889.0)</f>
        <v>45889</v>
      </c>
    </row>
    <row r="155">
      <c r="A155" s="1" t="str">
        <f>IFERROR(__xludf.DUMMYFUNCTION("""COMPUTED_VALUE"""),"7270755478")</f>
        <v>7270755478</v>
      </c>
      <c r="B155" s="1" t="str">
        <f>IFERROR(__xludf.DUMMYFUNCTION("""COMPUTED_VALUE"""),"Ahlemeyer")</f>
        <v>Ahlemeyer</v>
      </c>
      <c r="C155" s="1" t="str">
        <f>IFERROR(__xludf.DUMMYFUNCTION("""COMPUTED_VALUE"""),"Joseph")</f>
        <v>Joseph</v>
      </c>
      <c r="D155" s="2">
        <f>IFERROR(__xludf.DUMMYFUNCTION("""COMPUTED_VALUE"""),7.0)</f>
        <v>7</v>
      </c>
      <c r="E155" s="1" t="str">
        <f>IFERROR(__xludf.DUMMYFUNCTION("""COMPUTED_VALUE"""),"M")</f>
        <v>M</v>
      </c>
      <c r="F155" s="1" t="str">
        <f>IFERROR(__xludf.DUMMYFUNCTION("""COMPUTED_VALUE"""),"No, not Hispanic or Latino")</f>
        <v>No, not Hispanic or Latino</v>
      </c>
      <c r="G155" s="1" t="str">
        <f>IFERROR(__xludf.DUMMYFUNCTION("""COMPUTED_VALUE"""),"White")</f>
        <v>White</v>
      </c>
      <c r="H155" s="2">
        <f>IFERROR(__xludf.DUMMYFUNCTION("""COMPUTED_VALUE"""),1064.0)</f>
        <v>1064</v>
      </c>
      <c r="I155" s="1" t="str">
        <f>IFERROR(__xludf.DUMMYFUNCTION("""COMPUTED_VALUE"""),"001205")</f>
        <v>001205</v>
      </c>
      <c r="J155" s="3">
        <f>IFERROR(__xludf.DUMMYFUNCTION("""COMPUTED_VALUE"""),45889.0)</f>
        <v>45889</v>
      </c>
    </row>
    <row r="156">
      <c r="A156" s="1" t="str">
        <f>IFERROR(__xludf.DUMMYFUNCTION("""COMPUTED_VALUE"""),"1601597327")</f>
        <v>1601597327</v>
      </c>
      <c r="B156" s="1" t="str">
        <f>IFERROR(__xludf.DUMMYFUNCTION("""COMPUTED_VALUE"""),"Atnip")</f>
        <v>Atnip</v>
      </c>
      <c r="C156" s="1" t="str">
        <f>IFERROR(__xludf.DUMMYFUNCTION("""COMPUTED_VALUE"""),"Brooke")</f>
        <v>Brooke</v>
      </c>
      <c r="D156" s="2">
        <f>IFERROR(__xludf.DUMMYFUNCTION("""COMPUTED_VALUE"""),8.0)</f>
        <v>8</v>
      </c>
      <c r="E156" s="1" t="str">
        <f>IFERROR(__xludf.DUMMYFUNCTION("""COMPUTED_VALUE"""),"F")</f>
        <v>F</v>
      </c>
      <c r="F156" s="1" t="str">
        <f>IFERROR(__xludf.DUMMYFUNCTION("""COMPUTED_VALUE"""),"No, not Hispanic or Latino")</f>
        <v>No, not Hispanic or Latino</v>
      </c>
      <c r="G156" s="1" t="str">
        <f>IFERROR(__xludf.DUMMYFUNCTION("""COMPUTED_VALUE"""),"White")</f>
        <v>White</v>
      </c>
      <c r="H156" s="2">
        <f>IFERROR(__xludf.DUMMYFUNCTION("""COMPUTED_VALUE"""),1065.0)</f>
        <v>1065</v>
      </c>
      <c r="I156" s="1" t="str">
        <f>IFERROR(__xludf.DUMMYFUNCTION("""COMPUTED_VALUE"""),"001205")</f>
        <v>001205</v>
      </c>
      <c r="J156" s="3">
        <f>IFERROR(__xludf.DUMMYFUNCTION("""COMPUTED_VALUE"""),45889.0)</f>
        <v>45889</v>
      </c>
    </row>
    <row r="157">
      <c r="A157" s="1" t="str">
        <f>IFERROR(__xludf.DUMMYFUNCTION("""COMPUTED_VALUE"""),"5463992417")</f>
        <v>5463992417</v>
      </c>
      <c r="B157" s="1" t="str">
        <f>IFERROR(__xludf.DUMMYFUNCTION("""COMPUTED_VALUE"""),"Benin")</f>
        <v>Benin</v>
      </c>
      <c r="C157" s="1" t="str">
        <f>IFERROR(__xludf.DUMMYFUNCTION("""COMPUTED_VALUE"""),"Sidney")</f>
        <v>Sidney</v>
      </c>
      <c r="D157" s="2">
        <f>IFERROR(__xludf.DUMMYFUNCTION("""COMPUTED_VALUE"""),8.0)</f>
        <v>8</v>
      </c>
      <c r="E157" s="1" t="str">
        <f>IFERROR(__xludf.DUMMYFUNCTION("""COMPUTED_VALUE"""),"M")</f>
        <v>M</v>
      </c>
      <c r="F157" s="1" t="str">
        <f>IFERROR(__xludf.DUMMYFUNCTION("""COMPUTED_VALUE"""),"No, not Hispanic or Latino")</f>
        <v>No, not Hispanic or Latino</v>
      </c>
      <c r="G157" s="1" t="str">
        <f>IFERROR(__xludf.DUMMYFUNCTION("""COMPUTED_VALUE"""),"White")</f>
        <v>White</v>
      </c>
      <c r="H157" s="2">
        <f>IFERROR(__xludf.DUMMYFUNCTION("""COMPUTED_VALUE"""),1064.0)</f>
        <v>1064</v>
      </c>
      <c r="I157" s="1" t="str">
        <f>IFERROR(__xludf.DUMMYFUNCTION("""COMPUTED_VALUE"""),"001205")</f>
        <v>001205</v>
      </c>
      <c r="J157" s="3">
        <f>IFERROR(__xludf.DUMMYFUNCTION("""COMPUTED_VALUE"""),45889.0)</f>
        <v>45889</v>
      </c>
    </row>
    <row r="158">
      <c r="A158" s="1" t="str">
        <f>IFERROR(__xludf.DUMMYFUNCTION("""COMPUTED_VALUE"""),"3682194838")</f>
        <v>3682194838</v>
      </c>
      <c r="B158" s="1" t="str">
        <f>IFERROR(__xludf.DUMMYFUNCTION("""COMPUTED_VALUE"""),"Buell")</f>
        <v>Buell</v>
      </c>
      <c r="C158" s="1" t="str">
        <f>IFERROR(__xludf.DUMMYFUNCTION("""COMPUTED_VALUE"""),"Amelia")</f>
        <v>Amelia</v>
      </c>
      <c r="D158" s="2">
        <f>IFERROR(__xludf.DUMMYFUNCTION("""COMPUTED_VALUE"""),8.0)</f>
        <v>8</v>
      </c>
      <c r="E158" s="1" t="str">
        <f>IFERROR(__xludf.DUMMYFUNCTION("""COMPUTED_VALUE"""),"F")</f>
        <v>F</v>
      </c>
      <c r="F158" s="1" t="str">
        <f>IFERROR(__xludf.DUMMYFUNCTION("""COMPUTED_VALUE"""),"No, not Hispanic or Latino")</f>
        <v>No, not Hispanic or Latino</v>
      </c>
      <c r="G158" s="1" t="str">
        <f>IFERROR(__xludf.DUMMYFUNCTION("""COMPUTED_VALUE"""),"White")</f>
        <v>White</v>
      </c>
      <c r="H158" s="2">
        <f>IFERROR(__xludf.DUMMYFUNCTION("""COMPUTED_VALUE"""),1064.0)</f>
        <v>1064</v>
      </c>
      <c r="I158" s="1" t="str">
        <f>IFERROR(__xludf.DUMMYFUNCTION("""COMPUTED_VALUE"""),"001205")</f>
        <v>001205</v>
      </c>
      <c r="J158" s="3">
        <f>IFERROR(__xludf.DUMMYFUNCTION("""COMPUTED_VALUE"""),45889.0)</f>
        <v>45889</v>
      </c>
    </row>
    <row r="159">
      <c r="A159" s="1" t="str">
        <f>IFERROR(__xludf.DUMMYFUNCTION("""COMPUTED_VALUE"""),"2100259675")</f>
        <v>2100259675</v>
      </c>
      <c r="B159" s="1" t="str">
        <f>IFERROR(__xludf.DUMMYFUNCTION("""COMPUTED_VALUE"""),"Burgon")</f>
        <v>Burgon</v>
      </c>
      <c r="C159" s="1" t="str">
        <f>IFERROR(__xludf.DUMMYFUNCTION("""COMPUTED_VALUE"""),"Cate")</f>
        <v>Cate</v>
      </c>
      <c r="D159" s="2">
        <f>IFERROR(__xludf.DUMMYFUNCTION("""COMPUTED_VALUE"""),8.0)</f>
        <v>8</v>
      </c>
      <c r="E159" s="1" t="str">
        <f>IFERROR(__xludf.DUMMYFUNCTION("""COMPUTED_VALUE"""),"F")</f>
        <v>F</v>
      </c>
      <c r="F159" s="1" t="str">
        <f>IFERROR(__xludf.DUMMYFUNCTION("""COMPUTED_VALUE"""),"No, not Hispanic or Latino")</f>
        <v>No, not Hispanic or Latino</v>
      </c>
      <c r="G159" s="1" t="str">
        <f>IFERROR(__xludf.DUMMYFUNCTION("""COMPUTED_VALUE"""),"White")</f>
        <v>White</v>
      </c>
      <c r="H159" s="2">
        <f>IFERROR(__xludf.DUMMYFUNCTION("""COMPUTED_VALUE"""),1065.0)</f>
        <v>1065</v>
      </c>
      <c r="I159" s="1" t="str">
        <f>IFERROR(__xludf.DUMMYFUNCTION("""COMPUTED_VALUE"""),"001205")</f>
        <v>001205</v>
      </c>
      <c r="J159" s="3">
        <f>IFERROR(__xludf.DUMMYFUNCTION("""COMPUTED_VALUE"""),45889.0)</f>
        <v>45889</v>
      </c>
    </row>
    <row r="160">
      <c r="A160" s="1" t="str">
        <f>IFERROR(__xludf.DUMMYFUNCTION("""COMPUTED_VALUE"""),"7634167402")</f>
        <v>7634167402</v>
      </c>
      <c r="B160" s="1" t="str">
        <f>IFERROR(__xludf.DUMMYFUNCTION("""COMPUTED_VALUE"""),"Burke")</f>
        <v>Burke</v>
      </c>
      <c r="C160" s="1" t="str">
        <f>IFERROR(__xludf.DUMMYFUNCTION("""COMPUTED_VALUE"""),"Elizabeth")</f>
        <v>Elizabeth</v>
      </c>
      <c r="D160" s="2">
        <f>IFERROR(__xludf.DUMMYFUNCTION("""COMPUTED_VALUE"""),7.0)</f>
        <v>7</v>
      </c>
      <c r="E160" s="1" t="str">
        <f>IFERROR(__xludf.DUMMYFUNCTION("""COMPUTED_VALUE"""),"F")</f>
        <v>F</v>
      </c>
      <c r="F160" s="1" t="str">
        <f>IFERROR(__xludf.DUMMYFUNCTION("""COMPUTED_VALUE"""),"No, not Hispanic or Latino")</f>
        <v>No, not Hispanic or Latino</v>
      </c>
      <c r="G160" s="1" t="str">
        <f>IFERROR(__xludf.DUMMYFUNCTION("""COMPUTED_VALUE"""),"White")</f>
        <v>White</v>
      </c>
      <c r="H160" s="2">
        <f>IFERROR(__xludf.DUMMYFUNCTION("""COMPUTED_VALUE"""),1064.0)</f>
        <v>1064</v>
      </c>
      <c r="I160" s="1" t="str">
        <f>IFERROR(__xludf.DUMMYFUNCTION("""COMPUTED_VALUE"""),"001205")</f>
        <v>001205</v>
      </c>
      <c r="J160" s="3">
        <f>IFERROR(__xludf.DUMMYFUNCTION("""COMPUTED_VALUE"""),45889.0)</f>
        <v>45889</v>
      </c>
    </row>
    <row r="161">
      <c r="A161" s="1" t="str">
        <f>IFERROR(__xludf.DUMMYFUNCTION("""COMPUTED_VALUE"""),"6131701078")</f>
        <v>6131701078</v>
      </c>
      <c r="B161" s="1" t="str">
        <f>IFERROR(__xludf.DUMMYFUNCTION("""COMPUTED_VALUE"""),"Butler")</f>
        <v>Butler</v>
      </c>
      <c r="C161" s="1" t="str">
        <f>IFERROR(__xludf.DUMMYFUNCTION("""COMPUTED_VALUE"""),"Lyla")</f>
        <v>Lyla</v>
      </c>
      <c r="D161" s="2">
        <f>IFERROR(__xludf.DUMMYFUNCTION("""COMPUTED_VALUE"""),8.0)</f>
        <v>8</v>
      </c>
      <c r="E161" s="1" t="str">
        <f>IFERROR(__xludf.DUMMYFUNCTION("""COMPUTED_VALUE"""),"F")</f>
        <v>F</v>
      </c>
      <c r="F161" s="1" t="str">
        <f>IFERROR(__xludf.DUMMYFUNCTION("""COMPUTED_VALUE"""),"No, not Hispanic or Latino")</f>
        <v>No, not Hispanic or Latino</v>
      </c>
      <c r="G161" s="1" t="str">
        <f>IFERROR(__xludf.DUMMYFUNCTION("""COMPUTED_VALUE"""),"White")</f>
        <v>White</v>
      </c>
      <c r="H161" s="2">
        <f>IFERROR(__xludf.DUMMYFUNCTION("""COMPUTED_VALUE"""),1064.0)</f>
        <v>1064</v>
      </c>
      <c r="I161" s="1" t="str">
        <f>IFERROR(__xludf.DUMMYFUNCTION("""COMPUTED_VALUE"""),"001205")</f>
        <v>001205</v>
      </c>
      <c r="J161" s="3">
        <f>IFERROR(__xludf.DUMMYFUNCTION("""COMPUTED_VALUE"""),45889.0)</f>
        <v>45889</v>
      </c>
    </row>
    <row r="162">
      <c r="A162" s="1" t="str">
        <f>IFERROR(__xludf.DUMMYFUNCTION("""COMPUTED_VALUE"""),"9326242585")</f>
        <v>9326242585</v>
      </c>
      <c r="B162" s="1" t="str">
        <f>IFERROR(__xludf.DUMMYFUNCTION("""COMPUTED_VALUE"""),"Cadena Sanchez")</f>
        <v>Cadena Sanchez</v>
      </c>
      <c r="C162" s="1" t="str">
        <f>IFERROR(__xludf.DUMMYFUNCTION("""COMPUTED_VALUE"""),"Emma")</f>
        <v>Emma</v>
      </c>
      <c r="D162" s="2">
        <f>IFERROR(__xludf.DUMMYFUNCTION("""COMPUTED_VALUE"""),8.0)</f>
        <v>8</v>
      </c>
      <c r="E162" s="1" t="str">
        <f>IFERROR(__xludf.DUMMYFUNCTION("""COMPUTED_VALUE"""),"F")</f>
        <v>F</v>
      </c>
      <c r="F162" s="1" t="str">
        <f>IFERROR(__xludf.DUMMYFUNCTION("""COMPUTED_VALUE"""),"Yes, Hispanic or Latino")</f>
        <v>Yes, Hispanic or Latino</v>
      </c>
      <c r="G162" s="1" t="str">
        <f>IFERROR(__xludf.DUMMYFUNCTION("""COMPUTED_VALUE"""),"White")</f>
        <v>White</v>
      </c>
      <c r="H162" s="2">
        <f>IFERROR(__xludf.DUMMYFUNCTION("""COMPUTED_VALUE"""),1065.0)</f>
        <v>1065</v>
      </c>
      <c r="I162" s="1" t="str">
        <f>IFERROR(__xludf.DUMMYFUNCTION("""COMPUTED_VALUE"""),"001205")</f>
        <v>001205</v>
      </c>
      <c r="J162" s="3">
        <f>IFERROR(__xludf.DUMMYFUNCTION("""COMPUTED_VALUE"""),45889.0)</f>
        <v>45889</v>
      </c>
    </row>
    <row r="163">
      <c r="A163" s="1" t="str">
        <f>IFERROR(__xludf.DUMMYFUNCTION("""COMPUTED_VALUE"""),"7762045803")</f>
        <v>7762045803</v>
      </c>
      <c r="B163" s="1" t="str">
        <f>IFERROR(__xludf.DUMMYFUNCTION("""COMPUTED_VALUE"""),"Chavez Fuentes")</f>
        <v>Chavez Fuentes</v>
      </c>
      <c r="C163" s="1" t="str">
        <f>IFERROR(__xludf.DUMMYFUNCTION("""COMPUTED_VALUE"""),"Kiara")</f>
        <v>Kiara</v>
      </c>
      <c r="D163" s="2">
        <f>IFERROR(__xludf.DUMMYFUNCTION("""COMPUTED_VALUE"""),7.0)</f>
        <v>7</v>
      </c>
      <c r="E163" s="1" t="str">
        <f>IFERROR(__xludf.DUMMYFUNCTION("""COMPUTED_VALUE"""),"F")</f>
        <v>F</v>
      </c>
      <c r="F163" s="1" t="str">
        <f>IFERROR(__xludf.DUMMYFUNCTION("""COMPUTED_VALUE"""),"Yes, Hispanic or Latino")</f>
        <v>Yes, Hispanic or Latino</v>
      </c>
      <c r="G163" s="1" t="str">
        <f>IFERROR(__xludf.DUMMYFUNCTION("""COMPUTED_VALUE"""),"No Answer Provided")</f>
        <v>No Answer Provided</v>
      </c>
      <c r="H163" s="2">
        <f>IFERROR(__xludf.DUMMYFUNCTION("""COMPUTED_VALUE"""),1065.0)</f>
        <v>1065</v>
      </c>
      <c r="I163" s="1" t="str">
        <f>IFERROR(__xludf.DUMMYFUNCTION("""COMPUTED_VALUE"""),"001205")</f>
        <v>001205</v>
      </c>
      <c r="J163" s="3">
        <f>IFERROR(__xludf.DUMMYFUNCTION("""COMPUTED_VALUE"""),45889.0)</f>
        <v>45889</v>
      </c>
    </row>
    <row r="164">
      <c r="A164" s="1" t="str">
        <f>IFERROR(__xludf.DUMMYFUNCTION("""COMPUTED_VALUE"""),"3585062193")</f>
        <v>3585062193</v>
      </c>
      <c r="B164" s="1" t="str">
        <f>IFERROR(__xludf.DUMMYFUNCTION("""COMPUTED_VALUE"""),"Chinchilla Contreras")</f>
        <v>Chinchilla Contreras</v>
      </c>
      <c r="C164" s="1" t="str">
        <f>IFERROR(__xludf.DUMMYFUNCTION("""COMPUTED_VALUE"""),"Danella")</f>
        <v>Danella</v>
      </c>
      <c r="D164" s="2">
        <f>IFERROR(__xludf.DUMMYFUNCTION("""COMPUTED_VALUE"""),8.0)</f>
        <v>8</v>
      </c>
      <c r="E164" s="1" t="str">
        <f>IFERROR(__xludf.DUMMYFUNCTION("""COMPUTED_VALUE"""),"F")</f>
        <v>F</v>
      </c>
      <c r="F164" s="1" t="str">
        <f>IFERROR(__xludf.DUMMYFUNCTION("""COMPUTED_VALUE"""),"Yes, Hispanic or Latino")</f>
        <v>Yes, Hispanic or Latino</v>
      </c>
      <c r="G164" s="1" t="str">
        <f>IFERROR(__xludf.DUMMYFUNCTION("""COMPUTED_VALUE"""),"No Answer Provided")</f>
        <v>No Answer Provided</v>
      </c>
      <c r="H164" s="2">
        <f>IFERROR(__xludf.DUMMYFUNCTION("""COMPUTED_VALUE"""),1064.0)</f>
        <v>1064</v>
      </c>
      <c r="I164" s="1" t="str">
        <f>IFERROR(__xludf.DUMMYFUNCTION("""COMPUTED_VALUE"""),"001205")</f>
        <v>001205</v>
      </c>
      <c r="J164" s="3">
        <f>IFERROR(__xludf.DUMMYFUNCTION("""COMPUTED_VALUE"""),45889.0)</f>
        <v>45889</v>
      </c>
    </row>
    <row r="165">
      <c r="A165" s="1" t="str">
        <f>IFERROR(__xludf.DUMMYFUNCTION("""COMPUTED_VALUE"""),"3865651468")</f>
        <v>3865651468</v>
      </c>
      <c r="B165" s="1" t="str">
        <f>IFERROR(__xludf.DUMMYFUNCTION("""COMPUTED_VALUE"""),"Chipel Pu")</f>
        <v>Chipel Pu</v>
      </c>
      <c r="C165" s="1" t="str">
        <f>IFERROR(__xludf.DUMMYFUNCTION("""COMPUTED_VALUE"""),"Katerin")</f>
        <v>Katerin</v>
      </c>
      <c r="D165" s="2">
        <f>IFERROR(__xludf.DUMMYFUNCTION("""COMPUTED_VALUE"""),7.0)</f>
        <v>7</v>
      </c>
      <c r="E165" s="1" t="str">
        <f>IFERROR(__xludf.DUMMYFUNCTION("""COMPUTED_VALUE"""),"F")</f>
        <v>F</v>
      </c>
      <c r="F165" s="1" t="str">
        <f>IFERROR(__xludf.DUMMYFUNCTION("""COMPUTED_VALUE"""),"Yes, Hispanic or Latino")</f>
        <v>Yes, Hispanic or Latino</v>
      </c>
      <c r="G165" s="1" t="str">
        <f>IFERROR(__xludf.DUMMYFUNCTION("""COMPUTED_VALUE"""),"No Answer Provided")</f>
        <v>No Answer Provided</v>
      </c>
      <c r="H165" s="2">
        <f>IFERROR(__xludf.DUMMYFUNCTION("""COMPUTED_VALUE"""),1064.0)</f>
        <v>1064</v>
      </c>
      <c r="I165" s="1" t="str">
        <f>IFERROR(__xludf.DUMMYFUNCTION("""COMPUTED_VALUE"""),"001205")</f>
        <v>001205</v>
      </c>
      <c r="J165" s="3">
        <f>IFERROR(__xludf.DUMMYFUNCTION("""COMPUTED_VALUE"""),45889.0)</f>
        <v>45889</v>
      </c>
    </row>
    <row r="166">
      <c r="A166" s="1" t="str">
        <f>IFERROR(__xludf.DUMMYFUNCTION("""COMPUTED_VALUE"""),"9081513775")</f>
        <v>9081513775</v>
      </c>
      <c r="B166" s="1" t="str">
        <f>IFERROR(__xludf.DUMMYFUNCTION("""COMPUTED_VALUE"""),"Cortes")</f>
        <v>Cortes</v>
      </c>
      <c r="C166" s="1" t="str">
        <f>IFERROR(__xludf.DUMMYFUNCTION("""COMPUTED_VALUE"""),"Kennedy")</f>
        <v>Kennedy</v>
      </c>
      <c r="D166" s="2">
        <f>IFERROR(__xludf.DUMMYFUNCTION("""COMPUTED_VALUE"""),7.0)</f>
        <v>7</v>
      </c>
      <c r="E166" s="1" t="str">
        <f>IFERROR(__xludf.DUMMYFUNCTION("""COMPUTED_VALUE"""),"F")</f>
        <v>F</v>
      </c>
      <c r="F166" s="1" t="str">
        <f>IFERROR(__xludf.DUMMYFUNCTION("""COMPUTED_VALUE"""),"Yes, Hispanic or Latino")</f>
        <v>Yes, Hispanic or Latino</v>
      </c>
      <c r="G166" s="1" t="str">
        <f>IFERROR(__xludf.DUMMYFUNCTION("""COMPUTED_VALUE"""),"Filipino")</f>
        <v>Filipino</v>
      </c>
      <c r="H166" s="2">
        <f>IFERROR(__xludf.DUMMYFUNCTION("""COMPUTED_VALUE"""),1065.0)</f>
        <v>1065</v>
      </c>
      <c r="I166" s="1" t="str">
        <f>IFERROR(__xludf.DUMMYFUNCTION("""COMPUTED_VALUE"""),"001205")</f>
        <v>001205</v>
      </c>
      <c r="J166" s="3">
        <f>IFERROR(__xludf.DUMMYFUNCTION("""COMPUTED_VALUE"""),45889.0)</f>
        <v>45889</v>
      </c>
    </row>
    <row r="167">
      <c r="A167" s="1" t="str">
        <f>IFERROR(__xludf.DUMMYFUNCTION("""COMPUTED_VALUE"""),"7381006626")</f>
        <v>7381006626</v>
      </c>
      <c r="B167" s="1" t="str">
        <f>IFERROR(__xludf.DUMMYFUNCTION("""COMPUTED_VALUE"""),"Cunha")</f>
        <v>Cunha</v>
      </c>
      <c r="C167" s="1" t="str">
        <f>IFERROR(__xludf.DUMMYFUNCTION("""COMPUTED_VALUE"""),"Madyson")</f>
        <v>Madyson</v>
      </c>
      <c r="D167" s="2">
        <f>IFERROR(__xludf.DUMMYFUNCTION("""COMPUTED_VALUE"""),7.0)</f>
        <v>7</v>
      </c>
      <c r="E167" s="1" t="str">
        <f>IFERROR(__xludf.DUMMYFUNCTION("""COMPUTED_VALUE"""),"F")</f>
        <v>F</v>
      </c>
      <c r="F167" s="1" t="str">
        <f>IFERROR(__xludf.DUMMYFUNCTION("""COMPUTED_VALUE"""),"No, not Hispanic or Latino")</f>
        <v>No, not Hispanic or Latino</v>
      </c>
      <c r="G167" s="1" t="str">
        <f>IFERROR(__xludf.DUMMYFUNCTION("""COMPUTED_VALUE"""),"White")</f>
        <v>White</v>
      </c>
      <c r="H167" s="2">
        <f>IFERROR(__xludf.DUMMYFUNCTION("""COMPUTED_VALUE"""),1064.0)</f>
        <v>1064</v>
      </c>
      <c r="I167" s="1" t="str">
        <f>IFERROR(__xludf.DUMMYFUNCTION("""COMPUTED_VALUE"""),"001205")</f>
        <v>001205</v>
      </c>
      <c r="J167" s="3">
        <f>IFERROR(__xludf.DUMMYFUNCTION("""COMPUTED_VALUE"""),45889.0)</f>
        <v>45889</v>
      </c>
    </row>
    <row r="168">
      <c r="A168" s="1" t="str">
        <f>IFERROR(__xludf.DUMMYFUNCTION("""COMPUTED_VALUE"""),"4070947937")</f>
        <v>4070947937</v>
      </c>
      <c r="B168" s="1" t="str">
        <f>IFERROR(__xludf.DUMMYFUNCTION("""COMPUTED_VALUE"""),"Daabul")</f>
        <v>Daabul</v>
      </c>
      <c r="C168" s="1" t="str">
        <f>IFERROR(__xludf.DUMMYFUNCTION("""COMPUTED_VALUE"""),"Shira")</f>
        <v>Shira</v>
      </c>
      <c r="D168" s="2">
        <f>IFERROR(__xludf.DUMMYFUNCTION("""COMPUTED_VALUE"""),8.0)</f>
        <v>8</v>
      </c>
      <c r="E168" s="1" t="str">
        <f>IFERROR(__xludf.DUMMYFUNCTION("""COMPUTED_VALUE"""),"F")</f>
        <v>F</v>
      </c>
      <c r="F168" s="1" t="str">
        <f>IFERROR(__xludf.DUMMYFUNCTION("""COMPUTED_VALUE"""),"No, not Hispanic or Latino")</f>
        <v>No, not Hispanic or Latino</v>
      </c>
      <c r="G168" s="1" t="str">
        <f>IFERROR(__xludf.DUMMYFUNCTION("""COMPUTED_VALUE"""),"Other Asian")</f>
        <v>Other Asian</v>
      </c>
      <c r="H168" s="2">
        <f>IFERROR(__xludf.DUMMYFUNCTION("""COMPUTED_VALUE"""),1065.0)</f>
        <v>1065</v>
      </c>
      <c r="I168" s="1" t="str">
        <f>IFERROR(__xludf.DUMMYFUNCTION("""COMPUTED_VALUE"""),"001205")</f>
        <v>001205</v>
      </c>
      <c r="J168" s="3">
        <f>IFERROR(__xludf.DUMMYFUNCTION("""COMPUTED_VALUE"""),45889.0)</f>
        <v>45889</v>
      </c>
    </row>
    <row r="169">
      <c r="A169" s="1" t="str">
        <f>IFERROR(__xludf.DUMMYFUNCTION("""COMPUTED_VALUE"""),"9330494758")</f>
        <v>9330494758</v>
      </c>
      <c r="B169" s="1" t="str">
        <f>IFERROR(__xludf.DUMMYFUNCTION("""COMPUTED_VALUE"""),"Daglow")</f>
        <v>Daglow</v>
      </c>
      <c r="C169" s="1" t="str">
        <f>IFERROR(__xludf.DUMMYFUNCTION("""COMPUTED_VALUE"""),"Jackson")</f>
        <v>Jackson</v>
      </c>
      <c r="D169" s="2">
        <f>IFERROR(__xludf.DUMMYFUNCTION("""COMPUTED_VALUE"""),7.0)</f>
        <v>7</v>
      </c>
      <c r="E169" s="1" t="str">
        <f>IFERROR(__xludf.DUMMYFUNCTION("""COMPUTED_VALUE"""),"M")</f>
        <v>M</v>
      </c>
      <c r="F169" s="1" t="str">
        <f>IFERROR(__xludf.DUMMYFUNCTION("""COMPUTED_VALUE"""),"Yes, Hispanic or Latino")</f>
        <v>Yes, Hispanic or Latino</v>
      </c>
      <c r="G169" s="1" t="str">
        <f>IFERROR(__xludf.DUMMYFUNCTION("""COMPUTED_VALUE"""),"White")</f>
        <v>White</v>
      </c>
      <c r="H169" s="2">
        <f>IFERROR(__xludf.DUMMYFUNCTION("""COMPUTED_VALUE"""),1064.0)</f>
        <v>1064</v>
      </c>
      <c r="I169" s="1" t="str">
        <f>IFERROR(__xludf.DUMMYFUNCTION("""COMPUTED_VALUE"""),"001205")</f>
        <v>001205</v>
      </c>
      <c r="J169" s="3">
        <f>IFERROR(__xludf.DUMMYFUNCTION("""COMPUTED_VALUE"""),45889.0)</f>
        <v>45889</v>
      </c>
    </row>
    <row r="170">
      <c r="A170" s="1" t="str">
        <f>IFERROR(__xludf.DUMMYFUNCTION("""COMPUTED_VALUE"""),"4053487263")</f>
        <v>4053487263</v>
      </c>
      <c r="B170" s="1" t="str">
        <f>IFERROR(__xludf.DUMMYFUNCTION("""COMPUTED_VALUE"""),"Das")</f>
        <v>Das</v>
      </c>
      <c r="C170" s="1" t="str">
        <f>IFERROR(__xludf.DUMMYFUNCTION("""COMPUTED_VALUE"""),"Saadhvi")</f>
        <v>Saadhvi</v>
      </c>
      <c r="D170" s="2">
        <f>IFERROR(__xludf.DUMMYFUNCTION("""COMPUTED_VALUE"""),7.0)</f>
        <v>7</v>
      </c>
      <c r="E170" s="1" t="str">
        <f>IFERROR(__xludf.DUMMYFUNCTION("""COMPUTED_VALUE"""),"F")</f>
        <v>F</v>
      </c>
      <c r="F170" s="1" t="str">
        <f>IFERROR(__xludf.DUMMYFUNCTION("""COMPUTED_VALUE"""),"No, not Hispanic or Latino")</f>
        <v>No, not Hispanic or Latino</v>
      </c>
      <c r="G170" s="1" t="str">
        <f>IFERROR(__xludf.DUMMYFUNCTION("""COMPUTED_VALUE"""),"White")</f>
        <v>White</v>
      </c>
      <c r="H170" s="2">
        <f>IFERROR(__xludf.DUMMYFUNCTION("""COMPUTED_VALUE"""),1064.0)</f>
        <v>1064</v>
      </c>
      <c r="I170" s="1" t="str">
        <f>IFERROR(__xludf.DUMMYFUNCTION("""COMPUTED_VALUE"""),"001205")</f>
        <v>001205</v>
      </c>
      <c r="J170" s="3">
        <f>IFERROR(__xludf.DUMMYFUNCTION("""COMPUTED_VALUE"""),45889.0)</f>
        <v>45889</v>
      </c>
    </row>
    <row r="171">
      <c r="A171" s="1" t="str">
        <f>IFERROR(__xludf.DUMMYFUNCTION("""COMPUTED_VALUE"""),"3124918045")</f>
        <v>3124918045</v>
      </c>
      <c r="B171" s="1" t="str">
        <f>IFERROR(__xludf.DUMMYFUNCTION("""COMPUTED_VALUE"""),"DeVost")</f>
        <v>DeVost</v>
      </c>
      <c r="C171" s="1" t="str">
        <f>IFERROR(__xludf.DUMMYFUNCTION("""COMPUTED_VALUE"""),"Mary")</f>
        <v>Mary</v>
      </c>
      <c r="D171" s="2">
        <f>IFERROR(__xludf.DUMMYFUNCTION("""COMPUTED_VALUE"""),7.0)</f>
        <v>7</v>
      </c>
      <c r="E171" s="1" t="str">
        <f>IFERROR(__xludf.DUMMYFUNCTION("""COMPUTED_VALUE"""),"F")</f>
        <v>F</v>
      </c>
      <c r="F171" s="1" t="str">
        <f>IFERROR(__xludf.DUMMYFUNCTION("""COMPUTED_VALUE"""),"No, not Hispanic or Latino")</f>
        <v>No, not Hispanic or Latino</v>
      </c>
      <c r="G171" s="1" t="str">
        <f>IFERROR(__xludf.DUMMYFUNCTION("""COMPUTED_VALUE"""),"White")</f>
        <v>White</v>
      </c>
      <c r="H171" s="2">
        <f>IFERROR(__xludf.DUMMYFUNCTION("""COMPUTED_VALUE"""),1065.0)</f>
        <v>1065</v>
      </c>
      <c r="I171" s="1" t="str">
        <f>IFERROR(__xludf.DUMMYFUNCTION("""COMPUTED_VALUE"""),"001205")</f>
        <v>001205</v>
      </c>
      <c r="J171" s="3">
        <f>IFERROR(__xludf.DUMMYFUNCTION("""COMPUTED_VALUE"""),45889.0)</f>
        <v>45889</v>
      </c>
    </row>
    <row r="172">
      <c r="A172" s="1" t="str">
        <f>IFERROR(__xludf.DUMMYFUNCTION("""COMPUTED_VALUE"""),"6748364351")</f>
        <v>6748364351</v>
      </c>
      <c r="B172" s="1" t="str">
        <f>IFERROR(__xludf.DUMMYFUNCTION("""COMPUTED_VALUE"""),"Dizon")</f>
        <v>Dizon</v>
      </c>
      <c r="C172" s="1" t="str">
        <f>IFERROR(__xludf.DUMMYFUNCTION("""COMPUTED_VALUE"""),"Jayden")</f>
        <v>Jayden</v>
      </c>
      <c r="D172" s="2">
        <f>IFERROR(__xludf.DUMMYFUNCTION("""COMPUTED_VALUE"""),8.0)</f>
        <v>8</v>
      </c>
      <c r="E172" s="1" t="str">
        <f>IFERROR(__xludf.DUMMYFUNCTION("""COMPUTED_VALUE"""),"M")</f>
        <v>M</v>
      </c>
      <c r="F172" s="1" t="str">
        <f>IFERROR(__xludf.DUMMYFUNCTION("""COMPUTED_VALUE"""),"No, not Hispanic or Latino")</f>
        <v>No, not Hispanic or Latino</v>
      </c>
      <c r="G172" s="1" t="str">
        <f>IFERROR(__xludf.DUMMYFUNCTION("""COMPUTED_VALUE"""),"Filipino")</f>
        <v>Filipino</v>
      </c>
      <c r="H172" s="2">
        <f>IFERROR(__xludf.DUMMYFUNCTION("""COMPUTED_VALUE"""),1065.0)</f>
        <v>1065</v>
      </c>
      <c r="I172" s="1" t="str">
        <f>IFERROR(__xludf.DUMMYFUNCTION("""COMPUTED_VALUE"""),"001205")</f>
        <v>001205</v>
      </c>
      <c r="J172" s="3">
        <f>IFERROR(__xludf.DUMMYFUNCTION("""COMPUTED_VALUE"""),45889.0)</f>
        <v>45889</v>
      </c>
    </row>
    <row r="173">
      <c r="A173" s="1" t="str">
        <f>IFERROR(__xludf.DUMMYFUNCTION("""COMPUTED_VALUE"""),"1521655290")</f>
        <v>1521655290</v>
      </c>
      <c r="B173" s="1" t="str">
        <f>IFERROR(__xludf.DUMMYFUNCTION("""COMPUTED_VALUE"""),"Giavina")</f>
        <v>Giavina</v>
      </c>
      <c r="C173" s="1" t="str">
        <f>IFERROR(__xludf.DUMMYFUNCTION("""COMPUTED_VALUE"""),"Jasmine")</f>
        <v>Jasmine</v>
      </c>
      <c r="D173" s="2">
        <f>IFERROR(__xludf.DUMMYFUNCTION("""COMPUTED_VALUE"""),8.0)</f>
        <v>8</v>
      </c>
      <c r="E173" s="1" t="str">
        <f>IFERROR(__xludf.DUMMYFUNCTION("""COMPUTED_VALUE"""),"F")</f>
        <v>F</v>
      </c>
      <c r="F173" s="1" t="str">
        <f>IFERROR(__xludf.DUMMYFUNCTION("""COMPUTED_VALUE"""),"No, not Hispanic or Latino")</f>
        <v>No, not Hispanic or Latino</v>
      </c>
      <c r="G173" s="1" t="str">
        <f>IFERROR(__xludf.DUMMYFUNCTION("""COMPUTED_VALUE"""),"White")</f>
        <v>White</v>
      </c>
      <c r="H173" s="2">
        <f>IFERROR(__xludf.DUMMYFUNCTION("""COMPUTED_VALUE"""),1064.0)</f>
        <v>1064</v>
      </c>
      <c r="I173" s="1" t="str">
        <f>IFERROR(__xludf.DUMMYFUNCTION("""COMPUTED_VALUE"""),"001205")</f>
        <v>001205</v>
      </c>
      <c r="J173" s="3">
        <f>IFERROR(__xludf.DUMMYFUNCTION("""COMPUTED_VALUE"""),45889.0)</f>
        <v>45889</v>
      </c>
    </row>
    <row r="174">
      <c r="A174" s="1" t="str">
        <f>IFERROR(__xludf.DUMMYFUNCTION("""COMPUTED_VALUE"""),"2427512130")</f>
        <v>2427512130</v>
      </c>
      <c r="B174" s="1" t="str">
        <f>IFERROR(__xludf.DUMMYFUNCTION("""COMPUTED_VALUE"""),"Gilligan")</f>
        <v>Gilligan</v>
      </c>
      <c r="C174" s="1" t="str">
        <f>IFERROR(__xludf.DUMMYFUNCTION("""COMPUTED_VALUE"""),"Skylar")</f>
        <v>Skylar</v>
      </c>
      <c r="D174" s="2">
        <f>IFERROR(__xludf.DUMMYFUNCTION("""COMPUTED_VALUE"""),8.0)</f>
        <v>8</v>
      </c>
      <c r="E174" s="1" t="str">
        <f>IFERROR(__xludf.DUMMYFUNCTION("""COMPUTED_VALUE"""),"F")</f>
        <v>F</v>
      </c>
      <c r="F174" s="1" t="str">
        <f>IFERROR(__xludf.DUMMYFUNCTION("""COMPUTED_VALUE"""),"No, not Hispanic or Latino")</f>
        <v>No, not Hispanic or Latino</v>
      </c>
      <c r="G174" s="1" t="str">
        <f>IFERROR(__xludf.DUMMYFUNCTION("""COMPUTED_VALUE"""),"White")</f>
        <v>White</v>
      </c>
      <c r="H174" s="2">
        <f>IFERROR(__xludf.DUMMYFUNCTION("""COMPUTED_VALUE"""),1064.0)</f>
        <v>1064</v>
      </c>
      <c r="I174" s="1" t="str">
        <f>IFERROR(__xludf.DUMMYFUNCTION("""COMPUTED_VALUE"""),"001205")</f>
        <v>001205</v>
      </c>
      <c r="J174" s="3">
        <f>IFERROR(__xludf.DUMMYFUNCTION("""COMPUTED_VALUE"""),45889.0)</f>
        <v>45889</v>
      </c>
    </row>
    <row r="175">
      <c r="A175" s="1" t="str">
        <f>IFERROR(__xludf.DUMMYFUNCTION("""COMPUTED_VALUE"""),"9151026750")</f>
        <v>9151026750</v>
      </c>
      <c r="B175" s="1" t="str">
        <f>IFERROR(__xludf.DUMMYFUNCTION("""COMPUTED_VALUE"""),"Gooch")</f>
        <v>Gooch</v>
      </c>
      <c r="C175" s="1" t="str">
        <f>IFERROR(__xludf.DUMMYFUNCTION("""COMPUTED_VALUE"""),"Hazel")</f>
        <v>Hazel</v>
      </c>
      <c r="D175" s="2">
        <f>IFERROR(__xludf.DUMMYFUNCTION("""COMPUTED_VALUE"""),8.0)</f>
        <v>8</v>
      </c>
      <c r="E175" s="1" t="str">
        <f>IFERROR(__xludf.DUMMYFUNCTION("""COMPUTED_VALUE"""),"F")</f>
        <v>F</v>
      </c>
      <c r="F175" s="1" t="str">
        <f>IFERROR(__xludf.DUMMYFUNCTION("""COMPUTED_VALUE"""),"No, not Hispanic or Latino")</f>
        <v>No, not Hispanic or Latino</v>
      </c>
      <c r="G175" s="1" t="str">
        <f>IFERROR(__xludf.DUMMYFUNCTION("""COMPUTED_VALUE"""),"White")</f>
        <v>White</v>
      </c>
      <c r="H175" s="2">
        <f>IFERROR(__xludf.DUMMYFUNCTION("""COMPUTED_VALUE"""),1065.0)</f>
        <v>1065</v>
      </c>
      <c r="I175" s="1" t="str">
        <f>IFERROR(__xludf.DUMMYFUNCTION("""COMPUTED_VALUE"""),"001205")</f>
        <v>001205</v>
      </c>
      <c r="J175" s="3">
        <f>IFERROR(__xludf.DUMMYFUNCTION("""COMPUTED_VALUE"""),45889.0)</f>
        <v>45889</v>
      </c>
    </row>
    <row r="176">
      <c r="A176" s="1" t="str">
        <f>IFERROR(__xludf.DUMMYFUNCTION("""COMPUTED_VALUE"""),"9786385056")</f>
        <v>9786385056</v>
      </c>
      <c r="B176" s="1" t="str">
        <f>IFERROR(__xludf.DUMMYFUNCTION("""COMPUTED_VALUE"""),"Graham")</f>
        <v>Graham</v>
      </c>
      <c r="C176" s="1" t="str">
        <f>IFERROR(__xludf.DUMMYFUNCTION("""COMPUTED_VALUE"""),"Gemma")</f>
        <v>Gemma</v>
      </c>
      <c r="D176" s="2">
        <f>IFERROR(__xludf.DUMMYFUNCTION("""COMPUTED_VALUE"""),8.0)</f>
        <v>8</v>
      </c>
      <c r="E176" s="1" t="str">
        <f>IFERROR(__xludf.DUMMYFUNCTION("""COMPUTED_VALUE"""),"F")</f>
        <v>F</v>
      </c>
      <c r="F176" s="1" t="str">
        <f>IFERROR(__xludf.DUMMYFUNCTION("""COMPUTED_VALUE"""),"No, not Hispanic or Latino")</f>
        <v>No, not Hispanic or Latino</v>
      </c>
      <c r="G176" s="1" t="str">
        <f>IFERROR(__xludf.DUMMYFUNCTION("""COMPUTED_VALUE"""),"White")</f>
        <v>White</v>
      </c>
      <c r="H176" s="2">
        <f>IFERROR(__xludf.DUMMYFUNCTION("""COMPUTED_VALUE"""),1065.0)</f>
        <v>1065</v>
      </c>
      <c r="I176" s="1" t="str">
        <f>IFERROR(__xludf.DUMMYFUNCTION("""COMPUTED_VALUE"""),"001205")</f>
        <v>001205</v>
      </c>
      <c r="J176" s="3">
        <f>IFERROR(__xludf.DUMMYFUNCTION("""COMPUTED_VALUE"""),45889.0)</f>
        <v>45889</v>
      </c>
    </row>
    <row r="177">
      <c r="A177" s="1" t="str">
        <f>IFERROR(__xludf.DUMMYFUNCTION("""COMPUTED_VALUE"""),"6521076786")</f>
        <v>6521076786</v>
      </c>
      <c r="B177" s="1" t="str">
        <f>IFERROR(__xludf.DUMMYFUNCTION("""COMPUTED_VALUE"""),"Guttilla")</f>
        <v>Guttilla</v>
      </c>
      <c r="C177" s="1" t="str">
        <f>IFERROR(__xludf.DUMMYFUNCTION("""COMPUTED_VALUE"""),"Giovanni")</f>
        <v>Giovanni</v>
      </c>
      <c r="D177" s="2">
        <f>IFERROR(__xludf.DUMMYFUNCTION("""COMPUTED_VALUE"""),7.0)</f>
        <v>7</v>
      </c>
      <c r="E177" s="1" t="str">
        <f>IFERROR(__xludf.DUMMYFUNCTION("""COMPUTED_VALUE"""),"M")</f>
        <v>M</v>
      </c>
      <c r="F177" s="1" t="str">
        <f>IFERROR(__xludf.DUMMYFUNCTION("""COMPUTED_VALUE"""),"Unknown/Declined to State")</f>
        <v>Unknown/Declined to State</v>
      </c>
      <c r="G177" s="1" t="str">
        <f>IFERROR(__xludf.DUMMYFUNCTION("""COMPUTED_VALUE"""),"Filipino")</f>
        <v>Filipino</v>
      </c>
      <c r="H177" s="2">
        <f>IFERROR(__xludf.DUMMYFUNCTION("""COMPUTED_VALUE"""),1065.0)</f>
        <v>1065</v>
      </c>
      <c r="I177" s="1" t="str">
        <f>IFERROR(__xludf.DUMMYFUNCTION("""COMPUTED_VALUE"""),"001205")</f>
        <v>001205</v>
      </c>
      <c r="J177" s="3">
        <f>IFERROR(__xludf.DUMMYFUNCTION("""COMPUTED_VALUE"""),45889.0)</f>
        <v>45889</v>
      </c>
    </row>
    <row r="178">
      <c r="A178" s="1" t="str">
        <f>IFERROR(__xludf.DUMMYFUNCTION("""COMPUTED_VALUE"""),"2944171991")</f>
        <v>2944171991</v>
      </c>
      <c r="B178" s="1" t="str">
        <f>IFERROR(__xludf.DUMMYFUNCTION("""COMPUTED_VALUE"""),"Hawkins")</f>
        <v>Hawkins</v>
      </c>
      <c r="C178" s="1" t="str">
        <f>IFERROR(__xludf.DUMMYFUNCTION("""COMPUTED_VALUE"""),"James")</f>
        <v>James</v>
      </c>
      <c r="D178" s="2">
        <f>IFERROR(__xludf.DUMMYFUNCTION("""COMPUTED_VALUE"""),8.0)</f>
        <v>8</v>
      </c>
      <c r="E178" s="1" t="str">
        <f>IFERROR(__xludf.DUMMYFUNCTION("""COMPUTED_VALUE"""),"M")</f>
        <v>M</v>
      </c>
      <c r="F178" s="1" t="str">
        <f>IFERROR(__xludf.DUMMYFUNCTION("""COMPUTED_VALUE"""),"No, not Hispanic or Latino")</f>
        <v>No, not Hispanic or Latino</v>
      </c>
      <c r="G178" s="1" t="str">
        <f>IFERROR(__xludf.DUMMYFUNCTION("""COMPUTED_VALUE"""),"White")</f>
        <v>White</v>
      </c>
      <c r="H178" s="2">
        <f>IFERROR(__xludf.DUMMYFUNCTION("""COMPUTED_VALUE"""),1065.0)</f>
        <v>1065</v>
      </c>
      <c r="I178" s="1" t="str">
        <f>IFERROR(__xludf.DUMMYFUNCTION("""COMPUTED_VALUE"""),"001205")</f>
        <v>001205</v>
      </c>
      <c r="J178" s="3">
        <f>IFERROR(__xludf.DUMMYFUNCTION("""COMPUTED_VALUE"""),45889.0)</f>
        <v>45889</v>
      </c>
    </row>
    <row r="179">
      <c r="A179" s="1" t="str">
        <f>IFERROR(__xludf.DUMMYFUNCTION("""COMPUTED_VALUE"""),"8098801727")</f>
        <v>8098801727</v>
      </c>
      <c r="B179" s="1" t="str">
        <f>IFERROR(__xludf.DUMMYFUNCTION("""COMPUTED_VALUE"""),"Heckler")</f>
        <v>Heckler</v>
      </c>
      <c r="C179" s="1" t="str">
        <f>IFERROR(__xludf.DUMMYFUNCTION("""COMPUTED_VALUE"""),"Cameron")</f>
        <v>Cameron</v>
      </c>
      <c r="D179" s="2">
        <f>IFERROR(__xludf.DUMMYFUNCTION("""COMPUTED_VALUE"""),8.0)</f>
        <v>8</v>
      </c>
      <c r="E179" s="1" t="str">
        <f>IFERROR(__xludf.DUMMYFUNCTION("""COMPUTED_VALUE"""),"F")</f>
        <v>F</v>
      </c>
      <c r="F179" s="1" t="str">
        <f>IFERROR(__xludf.DUMMYFUNCTION("""COMPUTED_VALUE"""),"No, not Hispanic or Latino")</f>
        <v>No, not Hispanic or Latino</v>
      </c>
      <c r="G179" s="1" t="str">
        <f>IFERROR(__xludf.DUMMYFUNCTION("""COMPUTED_VALUE"""),"White")</f>
        <v>White</v>
      </c>
      <c r="H179" s="2">
        <f>IFERROR(__xludf.DUMMYFUNCTION("""COMPUTED_VALUE"""),1064.0)</f>
        <v>1064</v>
      </c>
      <c r="I179" s="1" t="str">
        <f>IFERROR(__xludf.DUMMYFUNCTION("""COMPUTED_VALUE"""),"001205")</f>
        <v>001205</v>
      </c>
      <c r="J179" s="3">
        <f>IFERROR(__xludf.DUMMYFUNCTION("""COMPUTED_VALUE"""),45889.0)</f>
        <v>45889</v>
      </c>
    </row>
    <row r="180">
      <c r="A180" s="1" t="str">
        <f>IFERROR(__xludf.DUMMYFUNCTION("""COMPUTED_VALUE"""),"4125928645")</f>
        <v>4125928645</v>
      </c>
      <c r="B180" s="1" t="str">
        <f>IFERROR(__xludf.DUMMYFUNCTION("""COMPUTED_VALUE"""),"Holden-Holley")</f>
        <v>Holden-Holley</v>
      </c>
      <c r="C180" s="1" t="str">
        <f>IFERROR(__xludf.DUMMYFUNCTION("""COMPUTED_VALUE"""),"Sasha")</f>
        <v>Sasha</v>
      </c>
      <c r="D180" s="2">
        <f>IFERROR(__xludf.DUMMYFUNCTION("""COMPUTED_VALUE"""),8.0)</f>
        <v>8</v>
      </c>
      <c r="E180" s="1" t="str">
        <f>IFERROR(__xludf.DUMMYFUNCTION("""COMPUTED_VALUE"""),"F")</f>
        <v>F</v>
      </c>
      <c r="F180" s="1" t="str">
        <f>IFERROR(__xludf.DUMMYFUNCTION("""COMPUTED_VALUE"""),"No, not Hispanic or Latino")</f>
        <v>No, not Hispanic or Latino</v>
      </c>
      <c r="G180" s="1" t="str">
        <f>IFERROR(__xludf.DUMMYFUNCTION("""COMPUTED_VALUE"""),"White")</f>
        <v>White</v>
      </c>
      <c r="H180" s="2">
        <f>IFERROR(__xludf.DUMMYFUNCTION("""COMPUTED_VALUE"""),1065.0)</f>
        <v>1065</v>
      </c>
      <c r="I180" s="1" t="str">
        <f>IFERROR(__xludf.DUMMYFUNCTION("""COMPUTED_VALUE"""),"001205")</f>
        <v>001205</v>
      </c>
      <c r="J180" s="3">
        <f>IFERROR(__xludf.DUMMYFUNCTION("""COMPUTED_VALUE"""),45889.0)</f>
        <v>45889</v>
      </c>
    </row>
    <row r="181">
      <c r="A181" s="1" t="str">
        <f>IFERROR(__xludf.DUMMYFUNCTION("""COMPUTED_VALUE"""),"9512396910")</f>
        <v>9512396910</v>
      </c>
      <c r="B181" s="1" t="str">
        <f>IFERROR(__xludf.DUMMYFUNCTION("""COMPUTED_VALUE"""),"Hutchinson")</f>
        <v>Hutchinson</v>
      </c>
      <c r="C181" s="1" t="str">
        <f>IFERROR(__xludf.DUMMYFUNCTION("""COMPUTED_VALUE"""),"Meryl")</f>
        <v>Meryl</v>
      </c>
      <c r="D181" s="2">
        <f>IFERROR(__xludf.DUMMYFUNCTION("""COMPUTED_VALUE"""),7.0)</f>
        <v>7</v>
      </c>
      <c r="E181" s="1" t="str">
        <f>IFERROR(__xludf.DUMMYFUNCTION("""COMPUTED_VALUE"""),"F")</f>
        <v>F</v>
      </c>
      <c r="F181" s="1" t="str">
        <f>IFERROR(__xludf.DUMMYFUNCTION("""COMPUTED_VALUE"""),"No, not Hispanic or Latino")</f>
        <v>No, not Hispanic or Latino</v>
      </c>
      <c r="G181" s="1" t="str">
        <f>IFERROR(__xludf.DUMMYFUNCTION("""COMPUTED_VALUE"""),"White")</f>
        <v>White</v>
      </c>
      <c r="H181" s="2">
        <f>IFERROR(__xludf.DUMMYFUNCTION("""COMPUTED_VALUE"""),1065.0)</f>
        <v>1065</v>
      </c>
      <c r="I181" s="1" t="str">
        <f>IFERROR(__xludf.DUMMYFUNCTION("""COMPUTED_VALUE"""),"001205")</f>
        <v>001205</v>
      </c>
      <c r="J181" s="3">
        <f>IFERROR(__xludf.DUMMYFUNCTION("""COMPUTED_VALUE"""),45889.0)</f>
        <v>45889</v>
      </c>
    </row>
    <row r="182">
      <c r="A182" s="1" t="str">
        <f>IFERROR(__xludf.DUMMYFUNCTION("""COMPUTED_VALUE"""),"1387656167")</f>
        <v>1387656167</v>
      </c>
      <c r="B182" s="1" t="str">
        <f>IFERROR(__xludf.DUMMYFUNCTION("""COMPUTED_VALUE"""),"Lauster")</f>
        <v>Lauster</v>
      </c>
      <c r="C182" s="1" t="str">
        <f>IFERROR(__xludf.DUMMYFUNCTION("""COMPUTED_VALUE"""),"John")</f>
        <v>John</v>
      </c>
      <c r="D182" s="2">
        <f>IFERROR(__xludf.DUMMYFUNCTION("""COMPUTED_VALUE"""),7.0)</f>
        <v>7</v>
      </c>
      <c r="E182" s="1" t="str">
        <f>IFERROR(__xludf.DUMMYFUNCTION("""COMPUTED_VALUE"""),"M")</f>
        <v>M</v>
      </c>
      <c r="F182" s="1" t="str">
        <f>IFERROR(__xludf.DUMMYFUNCTION("""COMPUTED_VALUE"""),"No, not Hispanic or Latino")</f>
        <v>No, not Hispanic or Latino</v>
      </c>
      <c r="G182" s="1" t="str">
        <f>IFERROR(__xludf.DUMMYFUNCTION("""COMPUTED_VALUE"""),"White")</f>
        <v>White</v>
      </c>
      <c r="H182" s="2">
        <f>IFERROR(__xludf.DUMMYFUNCTION("""COMPUTED_VALUE"""),1065.0)</f>
        <v>1065</v>
      </c>
      <c r="I182" s="1" t="str">
        <f>IFERROR(__xludf.DUMMYFUNCTION("""COMPUTED_VALUE"""),"001205")</f>
        <v>001205</v>
      </c>
      <c r="J182" s="3">
        <f>IFERROR(__xludf.DUMMYFUNCTION("""COMPUTED_VALUE"""),45889.0)</f>
        <v>45889</v>
      </c>
    </row>
    <row r="183">
      <c r="A183" s="1" t="str">
        <f>IFERROR(__xludf.DUMMYFUNCTION("""COMPUTED_VALUE"""),"8101391995")</f>
        <v>8101391995</v>
      </c>
      <c r="B183" s="1" t="str">
        <f>IFERROR(__xludf.DUMMYFUNCTION("""COMPUTED_VALUE"""),"Madden")</f>
        <v>Madden</v>
      </c>
      <c r="C183" s="1" t="str">
        <f>IFERROR(__xludf.DUMMYFUNCTION("""COMPUTED_VALUE"""),"Maggie")</f>
        <v>Maggie</v>
      </c>
      <c r="D183" s="2">
        <f>IFERROR(__xludf.DUMMYFUNCTION("""COMPUTED_VALUE"""),7.0)</f>
        <v>7</v>
      </c>
      <c r="E183" s="1" t="str">
        <f>IFERROR(__xludf.DUMMYFUNCTION("""COMPUTED_VALUE"""),"F")</f>
        <v>F</v>
      </c>
      <c r="F183" s="1" t="str">
        <f>IFERROR(__xludf.DUMMYFUNCTION("""COMPUTED_VALUE"""),"No, not Hispanic or Latino")</f>
        <v>No, not Hispanic or Latino</v>
      </c>
      <c r="G183" s="1" t="str">
        <f>IFERROR(__xludf.DUMMYFUNCTION("""COMPUTED_VALUE"""),"White")</f>
        <v>White</v>
      </c>
      <c r="H183" s="2">
        <f>IFERROR(__xludf.DUMMYFUNCTION("""COMPUTED_VALUE"""),1064.0)</f>
        <v>1064</v>
      </c>
      <c r="I183" s="1" t="str">
        <f>IFERROR(__xludf.DUMMYFUNCTION("""COMPUTED_VALUE"""),"001205")</f>
        <v>001205</v>
      </c>
      <c r="J183" s="3">
        <f>IFERROR(__xludf.DUMMYFUNCTION("""COMPUTED_VALUE"""),45889.0)</f>
        <v>45889</v>
      </c>
    </row>
    <row r="184">
      <c r="A184" s="1" t="str">
        <f>IFERROR(__xludf.DUMMYFUNCTION("""COMPUTED_VALUE"""),"6739675806")</f>
        <v>6739675806</v>
      </c>
      <c r="B184" s="1" t="str">
        <f>IFERROR(__xludf.DUMMYFUNCTION("""COMPUTED_VALUE"""),"Maibaum")</f>
        <v>Maibaum</v>
      </c>
      <c r="C184" s="1" t="str">
        <f>IFERROR(__xludf.DUMMYFUNCTION("""COMPUTED_VALUE"""),"Lilly")</f>
        <v>Lilly</v>
      </c>
      <c r="D184" s="2">
        <f>IFERROR(__xludf.DUMMYFUNCTION("""COMPUTED_VALUE"""),8.0)</f>
        <v>8</v>
      </c>
      <c r="E184" s="1" t="str">
        <f>IFERROR(__xludf.DUMMYFUNCTION("""COMPUTED_VALUE"""),"F")</f>
        <v>F</v>
      </c>
      <c r="F184" s="1" t="str">
        <f>IFERROR(__xludf.DUMMYFUNCTION("""COMPUTED_VALUE"""),"Yes, Hispanic or Latino")</f>
        <v>Yes, Hispanic or Latino</v>
      </c>
      <c r="G184" s="1" t="str">
        <f>IFERROR(__xludf.DUMMYFUNCTION("""COMPUTED_VALUE"""),"White")</f>
        <v>White</v>
      </c>
      <c r="H184" s="2">
        <f>IFERROR(__xludf.DUMMYFUNCTION("""COMPUTED_VALUE"""),1065.0)</f>
        <v>1065</v>
      </c>
      <c r="I184" s="1" t="str">
        <f>IFERROR(__xludf.DUMMYFUNCTION("""COMPUTED_VALUE"""),"001205")</f>
        <v>001205</v>
      </c>
      <c r="J184" s="3">
        <f>IFERROR(__xludf.DUMMYFUNCTION("""COMPUTED_VALUE"""),45889.0)</f>
        <v>45889</v>
      </c>
    </row>
    <row r="185">
      <c r="A185" s="1" t="str">
        <f>IFERROR(__xludf.DUMMYFUNCTION("""COMPUTED_VALUE"""),"8109392264")</f>
        <v>8109392264</v>
      </c>
      <c r="B185" s="1" t="str">
        <f>IFERROR(__xludf.DUMMYFUNCTION("""COMPUTED_VALUE"""),"Martinez De Leon")</f>
        <v>Martinez De Leon</v>
      </c>
      <c r="C185" s="1" t="str">
        <f>IFERROR(__xludf.DUMMYFUNCTION("""COMPUTED_VALUE"""),"Damaris")</f>
        <v>Damaris</v>
      </c>
      <c r="D185" s="2">
        <f>IFERROR(__xludf.DUMMYFUNCTION("""COMPUTED_VALUE"""),8.0)</f>
        <v>8</v>
      </c>
      <c r="E185" s="1" t="str">
        <f>IFERROR(__xludf.DUMMYFUNCTION("""COMPUTED_VALUE"""),"F")</f>
        <v>F</v>
      </c>
      <c r="F185" s="1" t="str">
        <f>IFERROR(__xludf.DUMMYFUNCTION("""COMPUTED_VALUE"""),"Yes, Hispanic or Latino")</f>
        <v>Yes, Hispanic or Latino</v>
      </c>
      <c r="G185" s="1" t="str">
        <f>IFERROR(__xludf.DUMMYFUNCTION("""COMPUTED_VALUE"""),"Laotian")</f>
        <v>Laotian</v>
      </c>
      <c r="H185" s="2">
        <f>IFERROR(__xludf.DUMMYFUNCTION("""COMPUTED_VALUE"""),1064.0)</f>
        <v>1064</v>
      </c>
      <c r="I185" s="1" t="str">
        <f>IFERROR(__xludf.DUMMYFUNCTION("""COMPUTED_VALUE"""),"001205")</f>
        <v>001205</v>
      </c>
      <c r="J185" s="3">
        <f>IFERROR(__xludf.DUMMYFUNCTION("""COMPUTED_VALUE"""),45889.0)</f>
        <v>45889</v>
      </c>
    </row>
    <row r="186">
      <c r="A186" s="1" t="str">
        <f>IFERROR(__xludf.DUMMYFUNCTION("""COMPUTED_VALUE"""),"8935873604")</f>
        <v>8935873604</v>
      </c>
      <c r="B186" s="1" t="str">
        <f>IFERROR(__xludf.DUMMYFUNCTION("""COMPUTED_VALUE"""),"Melluso")</f>
        <v>Melluso</v>
      </c>
      <c r="C186" s="1" t="str">
        <f>IFERROR(__xludf.DUMMYFUNCTION("""COMPUTED_VALUE"""),"Macin")</f>
        <v>Macin</v>
      </c>
      <c r="D186" s="2">
        <f>IFERROR(__xludf.DUMMYFUNCTION("""COMPUTED_VALUE"""),8.0)</f>
        <v>8</v>
      </c>
      <c r="E186" s="1" t="str">
        <f>IFERROR(__xludf.DUMMYFUNCTION("""COMPUTED_VALUE"""),"M")</f>
        <v>M</v>
      </c>
      <c r="F186" s="1" t="str">
        <f>IFERROR(__xludf.DUMMYFUNCTION("""COMPUTED_VALUE"""),"No, not Hispanic or Latino")</f>
        <v>No, not Hispanic or Latino</v>
      </c>
      <c r="G186" s="1" t="str">
        <f>IFERROR(__xludf.DUMMYFUNCTION("""COMPUTED_VALUE"""),"White")</f>
        <v>White</v>
      </c>
      <c r="H186" s="2">
        <f>IFERROR(__xludf.DUMMYFUNCTION("""COMPUTED_VALUE"""),1064.0)</f>
        <v>1064</v>
      </c>
      <c r="I186" s="1" t="str">
        <f>IFERROR(__xludf.DUMMYFUNCTION("""COMPUTED_VALUE"""),"001205")</f>
        <v>001205</v>
      </c>
      <c r="J186" s="3">
        <f>IFERROR(__xludf.DUMMYFUNCTION("""COMPUTED_VALUE"""),45889.0)</f>
        <v>45889</v>
      </c>
    </row>
    <row r="187">
      <c r="A187" s="1" t="str">
        <f>IFERROR(__xludf.DUMMYFUNCTION("""COMPUTED_VALUE"""),"8151561494")</f>
        <v>8151561494</v>
      </c>
      <c r="B187" s="1" t="str">
        <f>IFERROR(__xludf.DUMMYFUNCTION("""COMPUTED_VALUE"""),"Mendez")</f>
        <v>Mendez</v>
      </c>
      <c r="C187" s="1" t="str">
        <f>IFERROR(__xludf.DUMMYFUNCTION("""COMPUTED_VALUE"""),"Edilser")</f>
        <v>Edilser</v>
      </c>
      <c r="D187" s="2">
        <f>IFERROR(__xludf.DUMMYFUNCTION("""COMPUTED_VALUE"""),8.0)</f>
        <v>8</v>
      </c>
      <c r="E187" s="1" t="str">
        <f>IFERROR(__xludf.DUMMYFUNCTION("""COMPUTED_VALUE"""),"M")</f>
        <v>M</v>
      </c>
      <c r="F187" s="1" t="str">
        <f>IFERROR(__xludf.DUMMYFUNCTION("""COMPUTED_VALUE"""),"Yes, Hispanic or Latino")</f>
        <v>Yes, Hispanic or Latino</v>
      </c>
      <c r="G187" s="1" t="str">
        <f>IFERROR(__xludf.DUMMYFUNCTION("""COMPUTED_VALUE"""),"No Answer Provided")</f>
        <v>No Answer Provided</v>
      </c>
      <c r="H187" s="2">
        <f>IFERROR(__xludf.DUMMYFUNCTION("""COMPUTED_VALUE"""),1065.0)</f>
        <v>1065</v>
      </c>
      <c r="I187" s="1" t="str">
        <f>IFERROR(__xludf.DUMMYFUNCTION("""COMPUTED_VALUE"""),"001205")</f>
        <v>001205</v>
      </c>
      <c r="J187" s="3">
        <f>IFERROR(__xludf.DUMMYFUNCTION("""COMPUTED_VALUE"""),45889.0)</f>
        <v>45889</v>
      </c>
    </row>
    <row r="188">
      <c r="A188" s="1" t="str">
        <f>IFERROR(__xludf.DUMMYFUNCTION("""COMPUTED_VALUE"""),"6191168218")</f>
        <v>6191168218</v>
      </c>
      <c r="B188" s="1" t="str">
        <f>IFERROR(__xludf.DUMMYFUNCTION("""COMPUTED_VALUE"""),"Michael Hegwer")</f>
        <v>Michael Hegwer</v>
      </c>
      <c r="C188" s="1" t="str">
        <f>IFERROR(__xludf.DUMMYFUNCTION("""COMPUTED_VALUE"""),"Samuel")</f>
        <v>Samuel</v>
      </c>
      <c r="D188" s="2">
        <f>IFERROR(__xludf.DUMMYFUNCTION("""COMPUTED_VALUE"""),8.0)</f>
        <v>8</v>
      </c>
      <c r="E188" s="1" t="str">
        <f>IFERROR(__xludf.DUMMYFUNCTION("""COMPUTED_VALUE"""),"M")</f>
        <v>M</v>
      </c>
      <c r="F188" s="1" t="str">
        <f>IFERROR(__xludf.DUMMYFUNCTION("""COMPUTED_VALUE"""),"No, not Hispanic or Latino")</f>
        <v>No, not Hispanic or Latino</v>
      </c>
      <c r="G188" s="1" t="str">
        <f>IFERROR(__xludf.DUMMYFUNCTION("""COMPUTED_VALUE"""),"White")</f>
        <v>White</v>
      </c>
      <c r="H188" s="2">
        <f>IFERROR(__xludf.DUMMYFUNCTION("""COMPUTED_VALUE"""),1065.0)</f>
        <v>1065</v>
      </c>
      <c r="I188" s="1" t="str">
        <f>IFERROR(__xludf.DUMMYFUNCTION("""COMPUTED_VALUE"""),"001205")</f>
        <v>001205</v>
      </c>
      <c r="J188" s="3">
        <f>IFERROR(__xludf.DUMMYFUNCTION("""COMPUTED_VALUE"""),45889.0)</f>
        <v>45889</v>
      </c>
    </row>
    <row r="189">
      <c r="A189" s="1" t="str">
        <f>IFERROR(__xludf.DUMMYFUNCTION("""COMPUTED_VALUE"""),"5826237322")</f>
        <v>5826237322</v>
      </c>
      <c r="B189" s="1" t="str">
        <f>IFERROR(__xludf.DUMMYFUNCTION("""COMPUTED_VALUE"""),"Moaveni")</f>
        <v>Moaveni</v>
      </c>
      <c r="C189" s="1" t="str">
        <f>IFERROR(__xludf.DUMMYFUNCTION("""COMPUTED_VALUE"""),"Yasaman")</f>
        <v>Yasaman</v>
      </c>
      <c r="D189" s="2">
        <f>IFERROR(__xludf.DUMMYFUNCTION("""COMPUTED_VALUE"""),8.0)</f>
        <v>8</v>
      </c>
      <c r="E189" s="1" t="str">
        <f>IFERROR(__xludf.DUMMYFUNCTION("""COMPUTED_VALUE"""),"F")</f>
        <v>F</v>
      </c>
      <c r="F189" s="1" t="str">
        <f>IFERROR(__xludf.DUMMYFUNCTION("""COMPUTED_VALUE"""),"No, not Hispanic or Latino")</f>
        <v>No, not Hispanic or Latino</v>
      </c>
      <c r="G189" s="1" t="str">
        <f>IFERROR(__xludf.DUMMYFUNCTION("""COMPUTED_VALUE"""),"White")</f>
        <v>White</v>
      </c>
      <c r="H189" s="2">
        <f>IFERROR(__xludf.DUMMYFUNCTION("""COMPUTED_VALUE"""),1065.0)</f>
        <v>1065</v>
      </c>
      <c r="I189" s="1" t="str">
        <f>IFERROR(__xludf.DUMMYFUNCTION("""COMPUTED_VALUE"""),"001205")</f>
        <v>001205</v>
      </c>
      <c r="J189" s="3">
        <f>IFERROR(__xludf.DUMMYFUNCTION("""COMPUTED_VALUE"""),45889.0)</f>
        <v>45889</v>
      </c>
    </row>
    <row r="190">
      <c r="A190" s="1" t="str">
        <f>IFERROR(__xludf.DUMMYFUNCTION("""COMPUTED_VALUE"""),"4233857848")</f>
        <v>4233857848</v>
      </c>
      <c r="B190" s="1" t="str">
        <f>IFERROR(__xludf.DUMMYFUNCTION("""COMPUTED_VALUE"""),"Molloy")</f>
        <v>Molloy</v>
      </c>
      <c r="C190" s="1" t="str">
        <f>IFERROR(__xludf.DUMMYFUNCTION("""COMPUTED_VALUE"""),"Ava")</f>
        <v>Ava</v>
      </c>
      <c r="D190" s="2">
        <f>IFERROR(__xludf.DUMMYFUNCTION("""COMPUTED_VALUE"""),8.0)</f>
        <v>8</v>
      </c>
      <c r="E190" s="1" t="str">
        <f>IFERROR(__xludf.DUMMYFUNCTION("""COMPUTED_VALUE"""),"F")</f>
        <v>F</v>
      </c>
      <c r="F190" s="1" t="str">
        <f>IFERROR(__xludf.DUMMYFUNCTION("""COMPUTED_VALUE"""),"No, not Hispanic or Latino")</f>
        <v>No, not Hispanic or Latino</v>
      </c>
      <c r="G190" s="1" t="str">
        <f>IFERROR(__xludf.DUMMYFUNCTION("""COMPUTED_VALUE"""),"Samoan")</f>
        <v>Samoan</v>
      </c>
      <c r="H190" s="2">
        <f>IFERROR(__xludf.DUMMYFUNCTION("""COMPUTED_VALUE"""),1064.0)</f>
        <v>1064</v>
      </c>
      <c r="I190" s="1" t="str">
        <f>IFERROR(__xludf.DUMMYFUNCTION("""COMPUTED_VALUE"""),"001205")</f>
        <v>001205</v>
      </c>
      <c r="J190" s="3">
        <f>IFERROR(__xludf.DUMMYFUNCTION("""COMPUTED_VALUE"""),45889.0)</f>
        <v>45889</v>
      </c>
    </row>
    <row r="191">
      <c r="A191" s="1" t="str">
        <f>IFERROR(__xludf.DUMMYFUNCTION("""COMPUTED_VALUE"""),"9544940954")</f>
        <v>9544940954</v>
      </c>
      <c r="B191" s="1" t="str">
        <f>IFERROR(__xludf.DUMMYFUNCTION("""COMPUTED_VALUE"""),"Nadelberg")</f>
        <v>Nadelberg</v>
      </c>
      <c r="C191" s="1" t="str">
        <f>IFERROR(__xludf.DUMMYFUNCTION("""COMPUTED_VALUE"""),"Jakob")</f>
        <v>Jakob</v>
      </c>
      <c r="D191" s="2">
        <f>IFERROR(__xludf.DUMMYFUNCTION("""COMPUTED_VALUE"""),8.0)</f>
        <v>8</v>
      </c>
      <c r="E191" s="1" t="str">
        <f>IFERROR(__xludf.DUMMYFUNCTION("""COMPUTED_VALUE"""),"M")</f>
        <v>M</v>
      </c>
      <c r="F191" s="1" t="str">
        <f>IFERROR(__xludf.DUMMYFUNCTION("""COMPUTED_VALUE"""),"No, not Hispanic or Latino")</f>
        <v>No, not Hispanic or Latino</v>
      </c>
      <c r="G191" s="1" t="str">
        <f>IFERROR(__xludf.DUMMYFUNCTION("""COMPUTED_VALUE"""),"White")</f>
        <v>White</v>
      </c>
      <c r="H191" s="2">
        <f>IFERROR(__xludf.DUMMYFUNCTION("""COMPUTED_VALUE"""),1064.0)</f>
        <v>1064</v>
      </c>
      <c r="I191" s="1" t="str">
        <f>IFERROR(__xludf.DUMMYFUNCTION("""COMPUTED_VALUE"""),"001205")</f>
        <v>001205</v>
      </c>
      <c r="J191" s="3">
        <f>IFERROR(__xludf.DUMMYFUNCTION("""COMPUTED_VALUE"""),45889.0)</f>
        <v>45889</v>
      </c>
    </row>
    <row r="192">
      <c r="A192" s="1" t="str">
        <f>IFERROR(__xludf.DUMMYFUNCTION("""COMPUTED_VALUE"""),"9935872288")</f>
        <v>9935872288</v>
      </c>
      <c r="B192" s="1" t="str">
        <f>IFERROR(__xludf.DUMMYFUNCTION("""COMPUTED_VALUE"""),"Newhoff")</f>
        <v>Newhoff</v>
      </c>
      <c r="C192" s="1" t="str">
        <f>IFERROR(__xludf.DUMMYFUNCTION("""COMPUTED_VALUE"""),"Coco")</f>
        <v>Coco</v>
      </c>
      <c r="D192" s="2">
        <f>IFERROR(__xludf.DUMMYFUNCTION("""COMPUTED_VALUE"""),7.0)</f>
        <v>7</v>
      </c>
      <c r="E192" s="1" t="str">
        <f>IFERROR(__xludf.DUMMYFUNCTION("""COMPUTED_VALUE"""),"F")</f>
        <v>F</v>
      </c>
      <c r="F192" s="1" t="str">
        <f>IFERROR(__xludf.DUMMYFUNCTION("""COMPUTED_VALUE"""),"No, not Hispanic or Latino")</f>
        <v>No, not Hispanic or Latino</v>
      </c>
      <c r="G192" s="1" t="str">
        <f>IFERROR(__xludf.DUMMYFUNCTION("""COMPUTED_VALUE"""),"White")</f>
        <v>White</v>
      </c>
      <c r="H192" s="2">
        <f>IFERROR(__xludf.DUMMYFUNCTION("""COMPUTED_VALUE"""),1065.0)</f>
        <v>1065</v>
      </c>
      <c r="I192" s="1" t="str">
        <f>IFERROR(__xludf.DUMMYFUNCTION("""COMPUTED_VALUE"""),"001205")</f>
        <v>001205</v>
      </c>
      <c r="J192" s="3">
        <f>IFERROR(__xludf.DUMMYFUNCTION("""COMPUTED_VALUE"""),45889.0)</f>
        <v>45889</v>
      </c>
    </row>
    <row r="193">
      <c r="A193" s="1" t="str">
        <f>IFERROR(__xludf.DUMMYFUNCTION("""COMPUTED_VALUE"""),"5033120793")</f>
        <v>5033120793</v>
      </c>
      <c r="B193" s="1" t="str">
        <f>IFERROR(__xludf.DUMMYFUNCTION("""COMPUTED_VALUE"""),"Nixon")</f>
        <v>Nixon</v>
      </c>
      <c r="C193" s="1" t="str">
        <f>IFERROR(__xludf.DUMMYFUNCTION("""COMPUTED_VALUE"""),"Connor")</f>
        <v>Connor</v>
      </c>
      <c r="D193" s="2">
        <f>IFERROR(__xludf.DUMMYFUNCTION("""COMPUTED_VALUE"""),8.0)</f>
        <v>8</v>
      </c>
      <c r="E193" s="1" t="str">
        <f>IFERROR(__xludf.DUMMYFUNCTION("""COMPUTED_VALUE"""),"M")</f>
        <v>M</v>
      </c>
      <c r="F193" s="1" t="str">
        <f>IFERROR(__xludf.DUMMYFUNCTION("""COMPUTED_VALUE"""),"No, not Hispanic or Latino")</f>
        <v>No, not Hispanic or Latino</v>
      </c>
      <c r="G193" s="1" t="str">
        <f>IFERROR(__xludf.DUMMYFUNCTION("""COMPUTED_VALUE"""),"White")</f>
        <v>White</v>
      </c>
      <c r="H193" s="2">
        <f>IFERROR(__xludf.DUMMYFUNCTION("""COMPUTED_VALUE"""),1065.0)</f>
        <v>1065</v>
      </c>
      <c r="I193" s="1" t="str">
        <f>IFERROR(__xludf.DUMMYFUNCTION("""COMPUTED_VALUE"""),"001205")</f>
        <v>001205</v>
      </c>
      <c r="J193" s="3">
        <f>IFERROR(__xludf.DUMMYFUNCTION("""COMPUTED_VALUE"""),45889.0)</f>
        <v>45889</v>
      </c>
    </row>
    <row r="194">
      <c r="A194" s="1" t="str">
        <f>IFERROR(__xludf.DUMMYFUNCTION("""COMPUTED_VALUE"""),"5797744604")</f>
        <v>5797744604</v>
      </c>
      <c r="B194" s="1" t="str">
        <f>IFERROR(__xludf.DUMMYFUNCTION("""COMPUTED_VALUE"""),"O'Brien")</f>
        <v>O'Brien</v>
      </c>
      <c r="C194" s="1" t="str">
        <f>IFERROR(__xludf.DUMMYFUNCTION("""COMPUTED_VALUE"""),"William")</f>
        <v>William</v>
      </c>
      <c r="D194" s="2">
        <f>IFERROR(__xludf.DUMMYFUNCTION("""COMPUTED_VALUE"""),8.0)</f>
        <v>8</v>
      </c>
      <c r="E194" s="1" t="str">
        <f>IFERROR(__xludf.DUMMYFUNCTION("""COMPUTED_VALUE"""),"M")</f>
        <v>M</v>
      </c>
      <c r="F194" s="1" t="str">
        <f>IFERROR(__xludf.DUMMYFUNCTION("""COMPUTED_VALUE"""),"No, not Hispanic or Latino")</f>
        <v>No, not Hispanic or Latino</v>
      </c>
      <c r="G194" s="1" t="str">
        <f>IFERROR(__xludf.DUMMYFUNCTION("""COMPUTED_VALUE"""),"White")</f>
        <v>White</v>
      </c>
      <c r="H194" s="2">
        <f>IFERROR(__xludf.DUMMYFUNCTION("""COMPUTED_VALUE"""),1064.0)</f>
        <v>1064</v>
      </c>
      <c r="I194" s="1" t="str">
        <f>IFERROR(__xludf.DUMMYFUNCTION("""COMPUTED_VALUE"""),"001205")</f>
        <v>001205</v>
      </c>
      <c r="J194" s="3">
        <f>IFERROR(__xludf.DUMMYFUNCTION("""COMPUTED_VALUE"""),45889.0)</f>
        <v>45889</v>
      </c>
    </row>
    <row r="195">
      <c r="A195" s="1" t="str">
        <f>IFERROR(__xludf.DUMMYFUNCTION("""COMPUTED_VALUE"""),"2241936281")</f>
        <v>2241936281</v>
      </c>
      <c r="B195" s="1" t="str">
        <f>IFERROR(__xludf.DUMMYFUNCTION("""COMPUTED_VALUE"""),"O'Bryan")</f>
        <v>O'Bryan</v>
      </c>
      <c r="C195" s="1" t="str">
        <f>IFERROR(__xludf.DUMMYFUNCTION("""COMPUTED_VALUE"""),"Bianca")</f>
        <v>Bianca</v>
      </c>
      <c r="D195" s="2">
        <f>IFERROR(__xludf.DUMMYFUNCTION("""COMPUTED_VALUE"""),8.0)</f>
        <v>8</v>
      </c>
      <c r="E195" s="1" t="str">
        <f>IFERROR(__xludf.DUMMYFUNCTION("""COMPUTED_VALUE"""),"F")</f>
        <v>F</v>
      </c>
      <c r="F195" s="1" t="str">
        <f>IFERROR(__xludf.DUMMYFUNCTION("""COMPUTED_VALUE"""),"No, not Hispanic or Latino")</f>
        <v>No, not Hispanic or Latino</v>
      </c>
      <c r="G195" s="1" t="str">
        <f>IFERROR(__xludf.DUMMYFUNCTION("""COMPUTED_VALUE"""),"White")</f>
        <v>White</v>
      </c>
      <c r="H195" s="2">
        <f>IFERROR(__xludf.DUMMYFUNCTION("""COMPUTED_VALUE"""),1065.0)</f>
        <v>1065</v>
      </c>
      <c r="I195" s="1" t="str">
        <f>IFERROR(__xludf.DUMMYFUNCTION("""COMPUTED_VALUE"""),"001205")</f>
        <v>001205</v>
      </c>
      <c r="J195" s="3">
        <f>IFERROR(__xludf.DUMMYFUNCTION("""COMPUTED_VALUE"""),45889.0)</f>
        <v>45889</v>
      </c>
    </row>
    <row r="196">
      <c r="A196" s="1" t="str">
        <f>IFERROR(__xludf.DUMMYFUNCTION("""COMPUTED_VALUE"""),"8479464928")</f>
        <v>8479464928</v>
      </c>
      <c r="B196" s="1" t="str">
        <f>IFERROR(__xludf.DUMMYFUNCTION("""COMPUTED_VALUE"""),"O'Connor")</f>
        <v>O'Connor</v>
      </c>
      <c r="C196" s="1" t="str">
        <f>IFERROR(__xludf.DUMMYFUNCTION("""COMPUTED_VALUE"""),"Adelaide")</f>
        <v>Adelaide</v>
      </c>
      <c r="D196" s="2">
        <f>IFERROR(__xludf.DUMMYFUNCTION("""COMPUTED_VALUE"""),7.0)</f>
        <v>7</v>
      </c>
      <c r="E196" s="1" t="str">
        <f>IFERROR(__xludf.DUMMYFUNCTION("""COMPUTED_VALUE"""),"F")</f>
        <v>F</v>
      </c>
      <c r="F196" s="1" t="str">
        <f>IFERROR(__xludf.DUMMYFUNCTION("""COMPUTED_VALUE"""),"No, not Hispanic or Latino")</f>
        <v>No, not Hispanic or Latino</v>
      </c>
      <c r="G196" s="1" t="str">
        <f>IFERROR(__xludf.DUMMYFUNCTION("""COMPUTED_VALUE"""),"White")</f>
        <v>White</v>
      </c>
      <c r="H196" s="2">
        <f>IFERROR(__xludf.DUMMYFUNCTION("""COMPUTED_VALUE"""),1064.0)</f>
        <v>1064</v>
      </c>
      <c r="I196" s="1" t="str">
        <f>IFERROR(__xludf.DUMMYFUNCTION("""COMPUTED_VALUE"""),"001205")</f>
        <v>001205</v>
      </c>
      <c r="J196" s="3">
        <f>IFERROR(__xludf.DUMMYFUNCTION("""COMPUTED_VALUE"""),45889.0)</f>
        <v>45889</v>
      </c>
    </row>
    <row r="197">
      <c r="A197" s="1" t="str">
        <f>IFERROR(__xludf.DUMMYFUNCTION("""COMPUTED_VALUE"""),"5097068853")</f>
        <v>5097068853</v>
      </c>
      <c r="B197" s="1" t="str">
        <f>IFERROR(__xludf.DUMMYFUNCTION("""COMPUTED_VALUE"""),"Palomino")</f>
        <v>Palomino</v>
      </c>
      <c r="C197" s="1" t="str">
        <f>IFERROR(__xludf.DUMMYFUNCTION("""COMPUTED_VALUE"""),"Ava")</f>
        <v>Ava</v>
      </c>
      <c r="D197" s="2">
        <f>IFERROR(__xludf.DUMMYFUNCTION("""COMPUTED_VALUE"""),8.0)</f>
        <v>8</v>
      </c>
      <c r="E197" s="1" t="str">
        <f>IFERROR(__xludf.DUMMYFUNCTION("""COMPUTED_VALUE"""),"F")</f>
        <v>F</v>
      </c>
      <c r="F197" s="1" t="str">
        <f>IFERROR(__xludf.DUMMYFUNCTION("""COMPUTED_VALUE"""),"No, not Hispanic or Latino")</f>
        <v>No, not Hispanic or Latino</v>
      </c>
      <c r="G197" s="1" t="str">
        <f>IFERROR(__xludf.DUMMYFUNCTION("""COMPUTED_VALUE"""),"White")</f>
        <v>White</v>
      </c>
      <c r="H197" s="2">
        <f>IFERROR(__xludf.DUMMYFUNCTION("""COMPUTED_VALUE"""),1064.0)</f>
        <v>1064</v>
      </c>
      <c r="I197" s="1" t="str">
        <f>IFERROR(__xludf.DUMMYFUNCTION("""COMPUTED_VALUE"""),"001205")</f>
        <v>001205</v>
      </c>
      <c r="J197" s="3">
        <f>IFERROR(__xludf.DUMMYFUNCTION("""COMPUTED_VALUE"""),45889.0)</f>
        <v>45889</v>
      </c>
    </row>
    <row r="198">
      <c r="A198" s="1" t="str">
        <f>IFERROR(__xludf.DUMMYFUNCTION("""COMPUTED_VALUE"""),"5686477402")</f>
        <v>5686477402</v>
      </c>
      <c r="B198" s="1" t="str">
        <f>IFERROR(__xludf.DUMMYFUNCTION("""COMPUTED_VALUE"""),"Purvis")</f>
        <v>Purvis</v>
      </c>
      <c r="C198" s="1" t="str">
        <f>IFERROR(__xludf.DUMMYFUNCTION("""COMPUTED_VALUE"""),"Charlie")</f>
        <v>Charlie</v>
      </c>
      <c r="D198" s="2">
        <f>IFERROR(__xludf.DUMMYFUNCTION("""COMPUTED_VALUE"""),8.0)</f>
        <v>8</v>
      </c>
      <c r="E198" s="1" t="str">
        <f>IFERROR(__xludf.DUMMYFUNCTION("""COMPUTED_VALUE"""),"M")</f>
        <v>M</v>
      </c>
      <c r="F198" s="1" t="str">
        <f>IFERROR(__xludf.DUMMYFUNCTION("""COMPUTED_VALUE"""),"No, not Hispanic or Latino")</f>
        <v>No, not Hispanic or Latino</v>
      </c>
      <c r="G198" s="1" t="str">
        <f>IFERROR(__xludf.DUMMYFUNCTION("""COMPUTED_VALUE"""),"White")</f>
        <v>White</v>
      </c>
      <c r="H198" s="2">
        <f>IFERROR(__xludf.DUMMYFUNCTION("""COMPUTED_VALUE"""),1064.0)</f>
        <v>1064</v>
      </c>
      <c r="I198" s="1" t="str">
        <f>IFERROR(__xludf.DUMMYFUNCTION("""COMPUTED_VALUE"""),"001205")</f>
        <v>001205</v>
      </c>
      <c r="J198" s="3">
        <f>IFERROR(__xludf.DUMMYFUNCTION("""COMPUTED_VALUE"""),45889.0)</f>
        <v>45889</v>
      </c>
    </row>
    <row r="199">
      <c r="A199" s="1" t="str">
        <f>IFERROR(__xludf.DUMMYFUNCTION("""COMPUTED_VALUE"""),"5461090378")</f>
        <v>5461090378</v>
      </c>
      <c r="B199" s="1" t="str">
        <f>IFERROR(__xludf.DUMMYFUNCTION("""COMPUTED_VALUE"""),"Rajagopal")</f>
        <v>Rajagopal</v>
      </c>
      <c r="C199" s="1" t="str">
        <f>IFERROR(__xludf.DUMMYFUNCTION("""COMPUTED_VALUE"""),"Asha")</f>
        <v>Asha</v>
      </c>
      <c r="D199" s="2">
        <f>IFERROR(__xludf.DUMMYFUNCTION("""COMPUTED_VALUE"""),8.0)</f>
        <v>8</v>
      </c>
      <c r="E199" s="1" t="str">
        <f>IFERROR(__xludf.DUMMYFUNCTION("""COMPUTED_VALUE"""),"F")</f>
        <v>F</v>
      </c>
      <c r="F199" s="1" t="str">
        <f>IFERROR(__xludf.DUMMYFUNCTION("""COMPUTED_VALUE"""),"No, not Hispanic or Latino")</f>
        <v>No, not Hispanic or Latino</v>
      </c>
      <c r="G199" s="1" t="str">
        <f>IFERROR(__xludf.DUMMYFUNCTION("""COMPUTED_VALUE"""),"White")</f>
        <v>White</v>
      </c>
      <c r="H199" s="2">
        <f>IFERROR(__xludf.DUMMYFUNCTION("""COMPUTED_VALUE"""),1065.0)</f>
        <v>1065</v>
      </c>
      <c r="I199" s="1" t="str">
        <f>IFERROR(__xludf.DUMMYFUNCTION("""COMPUTED_VALUE"""),"001205")</f>
        <v>001205</v>
      </c>
      <c r="J199" s="3">
        <f>IFERROR(__xludf.DUMMYFUNCTION("""COMPUTED_VALUE"""),45889.0)</f>
        <v>45889</v>
      </c>
    </row>
    <row r="200">
      <c r="A200" s="1" t="str">
        <f>IFERROR(__xludf.DUMMYFUNCTION("""COMPUTED_VALUE"""),"6362028213")</f>
        <v>6362028213</v>
      </c>
      <c r="B200" s="1" t="str">
        <f>IFERROR(__xludf.DUMMYFUNCTION("""COMPUTED_VALUE"""),"Rhodes")</f>
        <v>Rhodes</v>
      </c>
      <c r="C200" s="1" t="str">
        <f>IFERROR(__xludf.DUMMYFUNCTION("""COMPUTED_VALUE"""),"McKenzie")</f>
        <v>McKenzie</v>
      </c>
      <c r="D200" s="2">
        <f>IFERROR(__xludf.DUMMYFUNCTION("""COMPUTED_VALUE"""),8.0)</f>
        <v>8</v>
      </c>
      <c r="E200" s="1" t="str">
        <f>IFERROR(__xludf.DUMMYFUNCTION("""COMPUTED_VALUE"""),"F")</f>
        <v>F</v>
      </c>
      <c r="F200" s="1" t="str">
        <f>IFERROR(__xludf.DUMMYFUNCTION("""COMPUTED_VALUE"""),"No, not Hispanic or Latino")</f>
        <v>No, not Hispanic or Latino</v>
      </c>
      <c r="G200" s="1" t="str">
        <f>IFERROR(__xludf.DUMMYFUNCTION("""COMPUTED_VALUE"""),"White")</f>
        <v>White</v>
      </c>
      <c r="H200" s="2">
        <f>IFERROR(__xludf.DUMMYFUNCTION("""COMPUTED_VALUE"""),1064.0)</f>
        <v>1064</v>
      </c>
      <c r="I200" s="1" t="str">
        <f>IFERROR(__xludf.DUMMYFUNCTION("""COMPUTED_VALUE"""),"001205")</f>
        <v>001205</v>
      </c>
      <c r="J200" s="3">
        <f>IFERROR(__xludf.DUMMYFUNCTION("""COMPUTED_VALUE"""),45889.0)</f>
        <v>45889</v>
      </c>
    </row>
    <row r="201">
      <c r="A201" s="1" t="str">
        <f>IFERROR(__xludf.DUMMYFUNCTION("""COMPUTED_VALUE"""),"5905726852")</f>
        <v>5905726852</v>
      </c>
      <c r="B201" s="1" t="str">
        <f>IFERROR(__xludf.DUMMYFUNCTION("""COMPUTED_VALUE"""),"Rivas")</f>
        <v>Rivas</v>
      </c>
      <c r="C201" s="1" t="str">
        <f>IFERROR(__xludf.DUMMYFUNCTION("""COMPUTED_VALUE"""),"Sebastian")</f>
        <v>Sebastian</v>
      </c>
      <c r="D201" s="2">
        <f>IFERROR(__xludf.DUMMYFUNCTION("""COMPUTED_VALUE"""),7.0)</f>
        <v>7</v>
      </c>
      <c r="E201" s="1" t="str">
        <f>IFERROR(__xludf.DUMMYFUNCTION("""COMPUTED_VALUE"""),"M")</f>
        <v>M</v>
      </c>
      <c r="F201" s="1" t="str">
        <f>IFERROR(__xludf.DUMMYFUNCTION("""COMPUTED_VALUE"""),"Yes, Hispanic or Latino")</f>
        <v>Yes, Hispanic or Latino</v>
      </c>
      <c r="G201" s="1" t="str">
        <f>IFERROR(__xludf.DUMMYFUNCTION("""COMPUTED_VALUE"""),"White")</f>
        <v>White</v>
      </c>
      <c r="H201" s="2">
        <f>IFERROR(__xludf.DUMMYFUNCTION("""COMPUTED_VALUE"""),1065.0)</f>
        <v>1065</v>
      </c>
      <c r="I201" s="1" t="str">
        <f>IFERROR(__xludf.DUMMYFUNCTION("""COMPUTED_VALUE"""),"001205")</f>
        <v>001205</v>
      </c>
      <c r="J201" s="3">
        <f>IFERROR(__xludf.DUMMYFUNCTION("""COMPUTED_VALUE"""),45889.0)</f>
        <v>45889</v>
      </c>
    </row>
    <row r="202">
      <c r="A202" s="1" t="str">
        <f>IFERROR(__xludf.DUMMYFUNCTION("""COMPUTED_VALUE"""),"2730077965")</f>
        <v>2730077965</v>
      </c>
      <c r="B202" s="1" t="str">
        <f>IFERROR(__xludf.DUMMYFUNCTION("""COMPUTED_VALUE"""),"Rossetti")</f>
        <v>Rossetti</v>
      </c>
      <c r="C202" s="1" t="str">
        <f>IFERROR(__xludf.DUMMYFUNCTION("""COMPUTED_VALUE"""),"Margot")</f>
        <v>Margot</v>
      </c>
      <c r="D202" s="2">
        <f>IFERROR(__xludf.DUMMYFUNCTION("""COMPUTED_VALUE"""),7.0)</f>
        <v>7</v>
      </c>
      <c r="E202" s="1" t="str">
        <f>IFERROR(__xludf.DUMMYFUNCTION("""COMPUTED_VALUE"""),"F")</f>
        <v>F</v>
      </c>
      <c r="F202" s="1" t="str">
        <f>IFERROR(__xludf.DUMMYFUNCTION("""COMPUTED_VALUE"""),"No, not Hispanic or Latino")</f>
        <v>No, not Hispanic or Latino</v>
      </c>
      <c r="G202" s="1" t="str">
        <f>IFERROR(__xludf.DUMMYFUNCTION("""COMPUTED_VALUE"""),"White")</f>
        <v>White</v>
      </c>
      <c r="H202" s="2">
        <f>IFERROR(__xludf.DUMMYFUNCTION("""COMPUTED_VALUE"""),1064.0)</f>
        <v>1064</v>
      </c>
      <c r="I202" s="1" t="str">
        <f>IFERROR(__xludf.DUMMYFUNCTION("""COMPUTED_VALUE"""),"001205")</f>
        <v>001205</v>
      </c>
      <c r="J202" s="3">
        <f>IFERROR(__xludf.DUMMYFUNCTION("""COMPUTED_VALUE"""),45889.0)</f>
        <v>45889</v>
      </c>
    </row>
    <row r="203">
      <c r="A203" s="1" t="str">
        <f>IFERROR(__xludf.DUMMYFUNCTION("""COMPUTED_VALUE"""),"8503130924")</f>
        <v>8503130924</v>
      </c>
      <c r="B203" s="1" t="str">
        <f>IFERROR(__xludf.DUMMYFUNCTION("""COMPUTED_VALUE"""),"Sajche")</f>
        <v>Sajche</v>
      </c>
      <c r="C203" s="1" t="str">
        <f>IFERROR(__xludf.DUMMYFUNCTION("""COMPUTED_VALUE"""),"Ethan")</f>
        <v>Ethan</v>
      </c>
      <c r="D203" s="2">
        <f>IFERROR(__xludf.DUMMYFUNCTION("""COMPUTED_VALUE"""),7.0)</f>
        <v>7</v>
      </c>
      <c r="E203" s="1" t="str">
        <f>IFERROR(__xludf.DUMMYFUNCTION("""COMPUTED_VALUE"""),"M")</f>
        <v>M</v>
      </c>
      <c r="F203" s="1" t="str">
        <f>IFERROR(__xludf.DUMMYFUNCTION("""COMPUTED_VALUE"""),"Yes, Hispanic or Latino")</f>
        <v>Yes, Hispanic or Latino</v>
      </c>
      <c r="G203" s="1" t="str">
        <f>IFERROR(__xludf.DUMMYFUNCTION("""COMPUTED_VALUE"""),"White")</f>
        <v>White</v>
      </c>
      <c r="H203" s="2">
        <f>IFERROR(__xludf.DUMMYFUNCTION("""COMPUTED_VALUE"""),1065.0)</f>
        <v>1065</v>
      </c>
      <c r="I203" s="1" t="str">
        <f>IFERROR(__xludf.DUMMYFUNCTION("""COMPUTED_VALUE"""),"001205")</f>
        <v>001205</v>
      </c>
      <c r="J203" s="3">
        <f>IFERROR(__xludf.DUMMYFUNCTION("""COMPUTED_VALUE"""),45889.0)</f>
        <v>45889</v>
      </c>
    </row>
    <row r="204">
      <c r="A204" s="1" t="str">
        <f>IFERROR(__xludf.DUMMYFUNCTION("""COMPUTED_VALUE"""),"8042314678")</f>
        <v>8042314678</v>
      </c>
      <c r="B204" s="1" t="str">
        <f>IFERROR(__xludf.DUMMYFUNCTION("""COMPUTED_VALUE"""),"Schneider")</f>
        <v>Schneider</v>
      </c>
      <c r="C204" s="1" t="str">
        <f>IFERROR(__xludf.DUMMYFUNCTION("""COMPUTED_VALUE"""),"Hadley")</f>
        <v>Hadley</v>
      </c>
      <c r="D204" s="2">
        <f>IFERROR(__xludf.DUMMYFUNCTION("""COMPUTED_VALUE"""),8.0)</f>
        <v>8</v>
      </c>
      <c r="E204" s="1" t="str">
        <f>IFERROR(__xludf.DUMMYFUNCTION("""COMPUTED_VALUE"""),"F")</f>
        <v>F</v>
      </c>
      <c r="F204" s="1" t="str">
        <f>IFERROR(__xludf.DUMMYFUNCTION("""COMPUTED_VALUE"""),"No, not Hispanic or Latino")</f>
        <v>No, not Hispanic or Latino</v>
      </c>
      <c r="G204" s="1" t="str">
        <f>IFERROR(__xludf.DUMMYFUNCTION("""COMPUTED_VALUE"""),"White")</f>
        <v>White</v>
      </c>
      <c r="H204" s="2">
        <f>IFERROR(__xludf.DUMMYFUNCTION("""COMPUTED_VALUE"""),1065.0)</f>
        <v>1065</v>
      </c>
      <c r="I204" s="1" t="str">
        <f>IFERROR(__xludf.DUMMYFUNCTION("""COMPUTED_VALUE"""),"001205")</f>
        <v>001205</v>
      </c>
      <c r="J204" s="3">
        <f>IFERROR(__xludf.DUMMYFUNCTION("""COMPUTED_VALUE"""),45889.0)</f>
        <v>45889</v>
      </c>
    </row>
    <row r="205">
      <c r="A205" s="1" t="str">
        <f>IFERROR(__xludf.DUMMYFUNCTION("""COMPUTED_VALUE"""),"6774093887")</f>
        <v>6774093887</v>
      </c>
      <c r="B205" s="1" t="str">
        <f>IFERROR(__xludf.DUMMYFUNCTION("""COMPUTED_VALUE"""),"Sims")</f>
        <v>Sims</v>
      </c>
      <c r="C205" s="1" t="str">
        <f>IFERROR(__xludf.DUMMYFUNCTION("""COMPUTED_VALUE"""),"Cole")</f>
        <v>Cole</v>
      </c>
      <c r="D205" s="2">
        <f>IFERROR(__xludf.DUMMYFUNCTION("""COMPUTED_VALUE"""),8.0)</f>
        <v>8</v>
      </c>
      <c r="E205" s="1" t="str">
        <f>IFERROR(__xludf.DUMMYFUNCTION("""COMPUTED_VALUE"""),"M")</f>
        <v>M</v>
      </c>
      <c r="F205" s="1" t="str">
        <f>IFERROR(__xludf.DUMMYFUNCTION("""COMPUTED_VALUE"""),"No, not Hispanic or Latino")</f>
        <v>No, not Hispanic or Latino</v>
      </c>
      <c r="G205" s="1" t="str">
        <f>IFERROR(__xludf.DUMMYFUNCTION("""COMPUTED_VALUE"""),"White")</f>
        <v>White</v>
      </c>
      <c r="H205" s="2">
        <f>IFERROR(__xludf.DUMMYFUNCTION("""COMPUTED_VALUE"""),1065.0)</f>
        <v>1065</v>
      </c>
      <c r="I205" s="1" t="str">
        <f>IFERROR(__xludf.DUMMYFUNCTION("""COMPUTED_VALUE"""),"001205")</f>
        <v>001205</v>
      </c>
      <c r="J205" s="3">
        <f>IFERROR(__xludf.DUMMYFUNCTION("""COMPUTED_VALUE"""),45889.0)</f>
        <v>45889</v>
      </c>
    </row>
    <row r="206">
      <c r="A206" s="1" t="str">
        <f>IFERROR(__xludf.DUMMYFUNCTION("""COMPUTED_VALUE"""),"8184328277")</f>
        <v>8184328277</v>
      </c>
      <c r="B206" s="1" t="str">
        <f>IFERROR(__xludf.DUMMYFUNCTION("""COMPUTED_VALUE"""),"Sordoillet")</f>
        <v>Sordoillet</v>
      </c>
      <c r="C206" s="1" t="str">
        <f>IFERROR(__xludf.DUMMYFUNCTION("""COMPUTED_VALUE"""),"Lili")</f>
        <v>Lili</v>
      </c>
      <c r="D206" s="2">
        <f>IFERROR(__xludf.DUMMYFUNCTION("""COMPUTED_VALUE"""),8.0)</f>
        <v>8</v>
      </c>
      <c r="E206" s="1" t="str">
        <f>IFERROR(__xludf.DUMMYFUNCTION("""COMPUTED_VALUE"""),"F")</f>
        <v>F</v>
      </c>
      <c r="F206" s="1" t="str">
        <f>IFERROR(__xludf.DUMMYFUNCTION("""COMPUTED_VALUE"""),"No, not Hispanic or Latino")</f>
        <v>No, not Hispanic or Latino</v>
      </c>
      <c r="G206" s="1" t="str">
        <f>IFERROR(__xludf.DUMMYFUNCTION("""COMPUTED_VALUE"""),"White")</f>
        <v>White</v>
      </c>
      <c r="H206" s="2">
        <f>IFERROR(__xludf.DUMMYFUNCTION("""COMPUTED_VALUE"""),1065.0)</f>
        <v>1065</v>
      </c>
      <c r="I206" s="1" t="str">
        <f>IFERROR(__xludf.DUMMYFUNCTION("""COMPUTED_VALUE"""),"001205")</f>
        <v>001205</v>
      </c>
      <c r="J206" s="3">
        <f>IFERROR(__xludf.DUMMYFUNCTION("""COMPUTED_VALUE"""),45889.0)</f>
        <v>45889</v>
      </c>
    </row>
    <row r="207">
      <c r="A207" s="1" t="str">
        <f>IFERROR(__xludf.DUMMYFUNCTION("""COMPUTED_VALUE"""),"3675348303")</f>
        <v>3675348303</v>
      </c>
      <c r="B207" s="1" t="str">
        <f>IFERROR(__xludf.DUMMYFUNCTION("""COMPUTED_VALUE"""),"Spratt")</f>
        <v>Spratt</v>
      </c>
      <c r="C207" s="1" t="str">
        <f>IFERROR(__xludf.DUMMYFUNCTION("""COMPUTED_VALUE"""),"Amelie")</f>
        <v>Amelie</v>
      </c>
      <c r="D207" s="2">
        <f>IFERROR(__xludf.DUMMYFUNCTION("""COMPUTED_VALUE"""),8.0)</f>
        <v>8</v>
      </c>
      <c r="E207" s="1" t="str">
        <f>IFERROR(__xludf.DUMMYFUNCTION("""COMPUTED_VALUE"""),"F")</f>
        <v>F</v>
      </c>
      <c r="F207" s="1" t="str">
        <f>IFERROR(__xludf.DUMMYFUNCTION("""COMPUTED_VALUE"""),"No, not Hispanic or Latino")</f>
        <v>No, not Hispanic or Latino</v>
      </c>
      <c r="G207" s="1" t="str">
        <f>IFERROR(__xludf.DUMMYFUNCTION("""COMPUTED_VALUE"""),"White")</f>
        <v>White</v>
      </c>
      <c r="H207" s="2">
        <f>IFERROR(__xludf.DUMMYFUNCTION("""COMPUTED_VALUE"""),1064.0)</f>
        <v>1064</v>
      </c>
      <c r="I207" s="1" t="str">
        <f>IFERROR(__xludf.DUMMYFUNCTION("""COMPUTED_VALUE"""),"001205")</f>
        <v>001205</v>
      </c>
      <c r="J207" s="3">
        <f>IFERROR(__xludf.DUMMYFUNCTION("""COMPUTED_VALUE"""),45889.0)</f>
        <v>45889</v>
      </c>
    </row>
    <row r="208">
      <c r="A208" s="1" t="str">
        <f>IFERROR(__xludf.DUMMYFUNCTION("""COMPUTED_VALUE"""),"5078854585")</f>
        <v>5078854585</v>
      </c>
      <c r="B208" s="1" t="str">
        <f>IFERROR(__xludf.DUMMYFUNCTION("""COMPUTED_VALUE"""),"Steiner")</f>
        <v>Steiner</v>
      </c>
      <c r="C208" s="1" t="str">
        <f>IFERROR(__xludf.DUMMYFUNCTION("""COMPUTED_VALUE"""),"Mason")</f>
        <v>Mason</v>
      </c>
      <c r="D208" s="2">
        <f>IFERROR(__xludf.DUMMYFUNCTION("""COMPUTED_VALUE"""),8.0)</f>
        <v>8</v>
      </c>
      <c r="E208" s="1" t="str">
        <f>IFERROR(__xludf.DUMMYFUNCTION("""COMPUTED_VALUE"""),"M")</f>
        <v>M</v>
      </c>
      <c r="F208" s="1" t="str">
        <f>IFERROR(__xludf.DUMMYFUNCTION("""COMPUTED_VALUE"""),"No, not Hispanic or Latino")</f>
        <v>No, not Hispanic or Latino</v>
      </c>
      <c r="G208" s="1" t="str">
        <f>IFERROR(__xludf.DUMMYFUNCTION("""COMPUTED_VALUE"""),"White")</f>
        <v>White</v>
      </c>
      <c r="H208" s="2">
        <f>IFERROR(__xludf.DUMMYFUNCTION("""COMPUTED_VALUE"""),1064.0)</f>
        <v>1064</v>
      </c>
      <c r="I208" s="1" t="str">
        <f>IFERROR(__xludf.DUMMYFUNCTION("""COMPUTED_VALUE"""),"001205")</f>
        <v>001205</v>
      </c>
      <c r="J208" s="3">
        <f>IFERROR(__xludf.DUMMYFUNCTION("""COMPUTED_VALUE"""),45889.0)</f>
        <v>45889</v>
      </c>
    </row>
    <row r="209">
      <c r="A209" s="1" t="str">
        <f>IFERROR(__xludf.DUMMYFUNCTION("""COMPUTED_VALUE"""),"5717026596")</f>
        <v>5717026596</v>
      </c>
      <c r="B209" s="1" t="str">
        <f>IFERROR(__xludf.DUMMYFUNCTION("""COMPUTED_VALUE"""),"Stewart")</f>
        <v>Stewart</v>
      </c>
      <c r="C209" s="1" t="str">
        <f>IFERROR(__xludf.DUMMYFUNCTION("""COMPUTED_VALUE"""),"Reed")</f>
        <v>Reed</v>
      </c>
      <c r="D209" s="2">
        <f>IFERROR(__xludf.DUMMYFUNCTION("""COMPUTED_VALUE"""),7.0)</f>
        <v>7</v>
      </c>
      <c r="E209" s="1" t="str">
        <f>IFERROR(__xludf.DUMMYFUNCTION("""COMPUTED_VALUE"""),"M")</f>
        <v>M</v>
      </c>
      <c r="F209" s="1" t="str">
        <f>IFERROR(__xludf.DUMMYFUNCTION("""COMPUTED_VALUE"""),"No, not Hispanic or Latino")</f>
        <v>No, not Hispanic or Latino</v>
      </c>
      <c r="G209" s="1" t="str">
        <f>IFERROR(__xludf.DUMMYFUNCTION("""COMPUTED_VALUE"""),"White")</f>
        <v>White</v>
      </c>
      <c r="H209" s="2">
        <f>IFERROR(__xludf.DUMMYFUNCTION("""COMPUTED_VALUE"""),1064.0)</f>
        <v>1064</v>
      </c>
      <c r="I209" s="1" t="str">
        <f>IFERROR(__xludf.DUMMYFUNCTION("""COMPUTED_VALUE"""),"001205")</f>
        <v>001205</v>
      </c>
      <c r="J209" s="3">
        <f>IFERROR(__xludf.DUMMYFUNCTION("""COMPUTED_VALUE"""),45889.0)</f>
        <v>45889</v>
      </c>
    </row>
    <row r="210">
      <c r="A210" s="1" t="str">
        <f>IFERROR(__xludf.DUMMYFUNCTION("""COMPUTED_VALUE"""),"5931543947")</f>
        <v>5931543947</v>
      </c>
      <c r="B210" s="1" t="str">
        <f>IFERROR(__xludf.DUMMYFUNCTION("""COMPUTED_VALUE"""),"Thai")</f>
        <v>Thai</v>
      </c>
      <c r="C210" s="1" t="str">
        <f>IFERROR(__xludf.DUMMYFUNCTION("""COMPUTED_VALUE"""),"Inara")</f>
        <v>Inara</v>
      </c>
      <c r="D210" s="2">
        <f>IFERROR(__xludf.DUMMYFUNCTION("""COMPUTED_VALUE"""),7.0)</f>
        <v>7</v>
      </c>
      <c r="E210" s="1" t="str">
        <f>IFERROR(__xludf.DUMMYFUNCTION("""COMPUTED_VALUE"""),"F")</f>
        <v>F</v>
      </c>
      <c r="F210" s="1" t="str">
        <f>IFERROR(__xludf.DUMMYFUNCTION("""COMPUTED_VALUE"""),"No, not Hispanic or Latino")</f>
        <v>No, not Hispanic or Latino</v>
      </c>
      <c r="G210" s="1" t="str">
        <f>IFERROR(__xludf.DUMMYFUNCTION("""COMPUTED_VALUE"""),"Chinese")</f>
        <v>Chinese</v>
      </c>
      <c r="H210" s="2">
        <f>IFERROR(__xludf.DUMMYFUNCTION("""COMPUTED_VALUE"""),1065.0)</f>
        <v>1065</v>
      </c>
      <c r="I210" s="1" t="str">
        <f>IFERROR(__xludf.DUMMYFUNCTION("""COMPUTED_VALUE"""),"001205")</f>
        <v>001205</v>
      </c>
      <c r="J210" s="3">
        <f>IFERROR(__xludf.DUMMYFUNCTION("""COMPUTED_VALUE"""),45889.0)</f>
        <v>45889</v>
      </c>
    </row>
    <row r="211">
      <c r="A211" s="1" t="str">
        <f>IFERROR(__xludf.DUMMYFUNCTION("""COMPUTED_VALUE"""),"1278863098")</f>
        <v>1278863098</v>
      </c>
      <c r="B211" s="1" t="str">
        <f>IFERROR(__xludf.DUMMYFUNCTION("""COMPUTED_VALUE"""),"Troy")</f>
        <v>Troy</v>
      </c>
      <c r="C211" s="1" t="str">
        <f>IFERROR(__xludf.DUMMYFUNCTION("""COMPUTED_VALUE"""),"Rya")</f>
        <v>Rya</v>
      </c>
      <c r="D211" s="2">
        <f>IFERROR(__xludf.DUMMYFUNCTION("""COMPUTED_VALUE"""),7.0)</f>
        <v>7</v>
      </c>
      <c r="E211" s="1" t="str">
        <f>IFERROR(__xludf.DUMMYFUNCTION("""COMPUTED_VALUE"""),"F")</f>
        <v>F</v>
      </c>
      <c r="F211" s="1" t="str">
        <f>IFERROR(__xludf.DUMMYFUNCTION("""COMPUTED_VALUE"""),"No, not Hispanic or Latino")</f>
        <v>No, not Hispanic or Latino</v>
      </c>
      <c r="G211" s="1" t="str">
        <f>IFERROR(__xludf.DUMMYFUNCTION("""COMPUTED_VALUE"""),"White")</f>
        <v>White</v>
      </c>
      <c r="H211" s="2">
        <f>IFERROR(__xludf.DUMMYFUNCTION("""COMPUTED_VALUE"""),1065.0)</f>
        <v>1065</v>
      </c>
      <c r="I211" s="1" t="str">
        <f>IFERROR(__xludf.DUMMYFUNCTION("""COMPUTED_VALUE"""),"001205")</f>
        <v>001205</v>
      </c>
      <c r="J211" s="3">
        <f>IFERROR(__xludf.DUMMYFUNCTION("""COMPUTED_VALUE"""),45889.0)</f>
        <v>45889</v>
      </c>
    </row>
    <row r="212">
      <c r="A212" s="1" t="str">
        <f>IFERROR(__xludf.DUMMYFUNCTION("""COMPUTED_VALUE"""),"7192429953")</f>
        <v>7192429953</v>
      </c>
      <c r="B212" s="1" t="str">
        <f>IFERROR(__xludf.DUMMYFUNCTION("""COMPUTED_VALUE"""),"Vail")</f>
        <v>Vail</v>
      </c>
      <c r="C212" s="1" t="str">
        <f>IFERROR(__xludf.DUMMYFUNCTION("""COMPUTED_VALUE"""),"Adelaide")</f>
        <v>Adelaide</v>
      </c>
      <c r="D212" s="2">
        <f>IFERROR(__xludf.DUMMYFUNCTION("""COMPUTED_VALUE"""),8.0)</f>
        <v>8</v>
      </c>
      <c r="E212" s="1" t="str">
        <f>IFERROR(__xludf.DUMMYFUNCTION("""COMPUTED_VALUE"""),"F")</f>
        <v>F</v>
      </c>
      <c r="F212" s="1" t="str">
        <f>IFERROR(__xludf.DUMMYFUNCTION("""COMPUTED_VALUE"""),"No, not Hispanic or Latino")</f>
        <v>No, not Hispanic or Latino</v>
      </c>
      <c r="G212" s="1" t="str">
        <f>IFERROR(__xludf.DUMMYFUNCTION("""COMPUTED_VALUE"""),"White")</f>
        <v>White</v>
      </c>
      <c r="H212" s="2">
        <f>IFERROR(__xludf.DUMMYFUNCTION("""COMPUTED_VALUE"""),1064.0)</f>
        <v>1064</v>
      </c>
      <c r="I212" s="1" t="str">
        <f>IFERROR(__xludf.DUMMYFUNCTION("""COMPUTED_VALUE"""),"001205")</f>
        <v>001205</v>
      </c>
      <c r="J212" s="3">
        <f>IFERROR(__xludf.DUMMYFUNCTION("""COMPUTED_VALUE"""),45889.0)</f>
        <v>45889</v>
      </c>
    </row>
    <row r="213">
      <c r="A213" s="1" t="str">
        <f>IFERROR(__xludf.DUMMYFUNCTION("""COMPUTED_VALUE"""),"3110316963")</f>
        <v>3110316963</v>
      </c>
      <c r="B213" s="1" t="str">
        <f>IFERROR(__xludf.DUMMYFUNCTION("""COMPUTED_VALUE"""),"Vilar")</f>
        <v>Vilar</v>
      </c>
      <c r="C213" s="1" t="str">
        <f>IFERROR(__xludf.DUMMYFUNCTION("""COMPUTED_VALUE"""),"Samuel")</f>
        <v>Samuel</v>
      </c>
      <c r="D213" s="2">
        <f>IFERROR(__xludf.DUMMYFUNCTION("""COMPUTED_VALUE"""),7.0)</f>
        <v>7</v>
      </c>
      <c r="E213" s="1" t="str">
        <f>IFERROR(__xludf.DUMMYFUNCTION("""COMPUTED_VALUE"""),"M")</f>
        <v>M</v>
      </c>
      <c r="F213" s="1" t="str">
        <f>IFERROR(__xludf.DUMMYFUNCTION("""COMPUTED_VALUE"""),"No, not Hispanic or Latino")</f>
        <v>No, not Hispanic or Latino</v>
      </c>
      <c r="G213" s="1" t="str">
        <f>IFERROR(__xludf.DUMMYFUNCTION("""COMPUTED_VALUE"""),"White")</f>
        <v>White</v>
      </c>
      <c r="H213" s="2">
        <f>IFERROR(__xludf.DUMMYFUNCTION("""COMPUTED_VALUE"""),1064.0)</f>
        <v>1064</v>
      </c>
      <c r="I213" s="1" t="str">
        <f>IFERROR(__xludf.DUMMYFUNCTION("""COMPUTED_VALUE"""),"001205")</f>
        <v>001205</v>
      </c>
      <c r="J213" s="3">
        <f>IFERROR(__xludf.DUMMYFUNCTION("""COMPUTED_VALUE"""),45889.0)</f>
        <v>45889</v>
      </c>
    </row>
    <row r="214">
      <c r="A214" s="1" t="str">
        <f>IFERROR(__xludf.DUMMYFUNCTION("""COMPUTED_VALUE"""),"7136618951")</f>
        <v>7136618951</v>
      </c>
      <c r="B214" s="1" t="str">
        <f>IFERROR(__xludf.DUMMYFUNCTION("""COMPUTED_VALUE"""),"Wallace")</f>
        <v>Wallace</v>
      </c>
      <c r="C214" s="1" t="str">
        <f>IFERROR(__xludf.DUMMYFUNCTION("""COMPUTED_VALUE"""),"Johannah")</f>
        <v>Johannah</v>
      </c>
      <c r="D214" s="2">
        <f>IFERROR(__xludf.DUMMYFUNCTION("""COMPUTED_VALUE"""),8.0)</f>
        <v>8</v>
      </c>
      <c r="E214" s="1" t="str">
        <f>IFERROR(__xludf.DUMMYFUNCTION("""COMPUTED_VALUE"""),"F")</f>
        <v>F</v>
      </c>
      <c r="F214" s="1" t="str">
        <f>IFERROR(__xludf.DUMMYFUNCTION("""COMPUTED_VALUE"""),"No, not Hispanic or Latino")</f>
        <v>No, not Hispanic or Latino</v>
      </c>
      <c r="G214" s="1" t="str">
        <f>IFERROR(__xludf.DUMMYFUNCTION("""COMPUTED_VALUE"""),"White")</f>
        <v>White</v>
      </c>
      <c r="H214" s="2">
        <f>IFERROR(__xludf.DUMMYFUNCTION("""COMPUTED_VALUE"""),1065.0)</f>
        <v>1065</v>
      </c>
      <c r="I214" s="1" t="str">
        <f>IFERROR(__xludf.DUMMYFUNCTION("""COMPUTED_VALUE"""),"001205")</f>
        <v>001205</v>
      </c>
      <c r="J214" s="3">
        <f>IFERROR(__xludf.DUMMYFUNCTION("""COMPUTED_VALUE"""),45889.0)</f>
        <v>45889</v>
      </c>
    </row>
    <row r="215">
      <c r="A215" s="1" t="str">
        <f>IFERROR(__xludf.DUMMYFUNCTION("""COMPUTED_VALUE"""),"7571139412")</f>
        <v>7571139412</v>
      </c>
      <c r="B215" s="1" t="str">
        <f>IFERROR(__xludf.DUMMYFUNCTION("""COMPUTED_VALUE"""),"Wallen")</f>
        <v>Wallen</v>
      </c>
      <c r="C215" s="1" t="str">
        <f>IFERROR(__xludf.DUMMYFUNCTION("""COMPUTED_VALUE"""),"Ella")</f>
        <v>Ella</v>
      </c>
      <c r="D215" s="2">
        <f>IFERROR(__xludf.DUMMYFUNCTION("""COMPUTED_VALUE"""),8.0)</f>
        <v>8</v>
      </c>
      <c r="E215" s="1" t="str">
        <f>IFERROR(__xludf.DUMMYFUNCTION("""COMPUTED_VALUE"""),"F")</f>
        <v>F</v>
      </c>
      <c r="F215" s="1" t="str">
        <f>IFERROR(__xludf.DUMMYFUNCTION("""COMPUTED_VALUE"""),"No, not Hispanic or Latino")</f>
        <v>No, not Hispanic or Latino</v>
      </c>
      <c r="G215" s="1" t="str">
        <f>IFERROR(__xludf.DUMMYFUNCTION("""COMPUTED_VALUE"""),"White")</f>
        <v>White</v>
      </c>
      <c r="H215" s="2">
        <f>IFERROR(__xludf.DUMMYFUNCTION("""COMPUTED_VALUE"""),1064.0)</f>
        <v>1064</v>
      </c>
      <c r="I215" s="1" t="str">
        <f>IFERROR(__xludf.DUMMYFUNCTION("""COMPUTED_VALUE"""),"001205")</f>
        <v>001205</v>
      </c>
      <c r="J215" s="3">
        <f>IFERROR(__xludf.DUMMYFUNCTION("""COMPUTED_VALUE"""),45889.0)</f>
        <v>45889</v>
      </c>
    </row>
    <row r="216">
      <c r="A216" s="1" t="str">
        <f>IFERROR(__xludf.DUMMYFUNCTION("""COMPUTED_VALUE"""),"9727209753")</f>
        <v>9727209753</v>
      </c>
      <c r="B216" s="1" t="str">
        <f>IFERROR(__xludf.DUMMYFUNCTION("""COMPUTED_VALUE"""),"Wells")</f>
        <v>Wells</v>
      </c>
      <c r="C216" s="1" t="str">
        <f>IFERROR(__xludf.DUMMYFUNCTION("""COMPUTED_VALUE"""),"Roland")</f>
        <v>Roland</v>
      </c>
      <c r="D216" s="2">
        <f>IFERROR(__xludf.DUMMYFUNCTION("""COMPUTED_VALUE"""),7.0)</f>
        <v>7</v>
      </c>
      <c r="E216" s="1" t="str">
        <f>IFERROR(__xludf.DUMMYFUNCTION("""COMPUTED_VALUE"""),"M")</f>
        <v>M</v>
      </c>
      <c r="F216" s="1" t="str">
        <f>IFERROR(__xludf.DUMMYFUNCTION("""COMPUTED_VALUE"""),"No, not Hispanic or Latino")</f>
        <v>No, not Hispanic or Latino</v>
      </c>
      <c r="G216" s="1" t="str">
        <f>IFERROR(__xludf.DUMMYFUNCTION("""COMPUTED_VALUE"""),"White")</f>
        <v>White</v>
      </c>
      <c r="H216" s="2">
        <f>IFERROR(__xludf.DUMMYFUNCTION("""COMPUTED_VALUE"""),1065.0)</f>
        <v>1065</v>
      </c>
      <c r="I216" s="1" t="str">
        <f>IFERROR(__xludf.DUMMYFUNCTION("""COMPUTED_VALUE"""),"001205")</f>
        <v>001205</v>
      </c>
      <c r="J216" s="3">
        <f>IFERROR(__xludf.DUMMYFUNCTION("""COMPUTED_VALUE"""),45889.0)</f>
        <v>45889</v>
      </c>
    </row>
    <row r="217">
      <c r="A217" s="1" t="str">
        <f>IFERROR(__xludf.DUMMYFUNCTION("""COMPUTED_VALUE"""),"6755663698")</f>
        <v>6755663698</v>
      </c>
      <c r="B217" s="1" t="str">
        <f>IFERROR(__xludf.DUMMYFUNCTION("""COMPUTED_VALUE"""),"Whitney")</f>
        <v>Whitney</v>
      </c>
      <c r="C217" s="1" t="str">
        <f>IFERROR(__xludf.DUMMYFUNCTION("""COMPUTED_VALUE"""),"Patrick")</f>
        <v>Patrick</v>
      </c>
      <c r="D217" s="2">
        <f>IFERROR(__xludf.DUMMYFUNCTION("""COMPUTED_VALUE"""),8.0)</f>
        <v>8</v>
      </c>
      <c r="E217" s="1" t="str">
        <f>IFERROR(__xludf.DUMMYFUNCTION("""COMPUTED_VALUE"""),"M")</f>
        <v>M</v>
      </c>
      <c r="F217" s="1" t="str">
        <f>IFERROR(__xludf.DUMMYFUNCTION("""COMPUTED_VALUE"""),"No, not Hispanic or Latino")</f>
        <v>No, not Hispanic or Latino</v>
      </c>
      <c r="G217" s="1" t="str">
        <f>IFERROR(__xludf.DUMMYFUNCTION("""COMPUTED_VALUE"""),"White")</f>
        <v>White</v>
      </c>
      <c r="H217" s="2">
        <f>IFERROR(__xludf.DUMMYFUNCTION("""COMPUTED_VALUE"""),1065.0)</f>
        <v>1065</v>
      </c>
      <c r="I217" s="1" t="str">
        <f>IFERROR(__xludf.DUMMYFUNCTION("""COMPUTED_VALUE"""),"001205")</f>
        <v>001205</v>
      </c>
      <c r="J217" s="3">
        <f>IFERROR(__xludf.DUMMYFUNCTION("""COMPUTED_VALUE"""),45889.0)</f>
        <v>45889</v>
      </c>
    </row>
    <row r="218">
      <c r="A218" s="1" t="str">
        <f>IFERROR(__xludf.DUMMYFUNCTION("""COMPUTED_VALUE"""),"9051069126")</f>
        <v>9051069126</v>
      </c>
      <c r="B218" s="1" t="str">
        <f>IFERROR(__xludf.DUMMYFUNCTION("""COMPUTED_VALUE"""),"Yu")</f>
        <v>Yu</v>
      </c>
      <c r="C218" s="1" t="str">
        <f>IFERROR(__xludf.DUMMYFUNCTION("""COMPUTED_VALUE"""),"Nicholas")</f>
        <v>Nicholas</v>
      </c>
      <c r="D218" s="2">
        <f>IFERROR(__xludf.DUMMYFUNCTION("""COMPUTED_VALUE"""),8.0)</f>
        <v>8</v>
      </c>
      <c r="E218" s="1" t="str">
        <f>IFERROR(__xludf.DUMMYFUNCTION("""COMPUTED_VALUE"""),"M")</f>
        <v>M</v>
      </c>
      <c r="F218" s="1" t="str">
        <f>IFERROR(__xludf.DUMMYFUNCTION("""COMPUTED_VALUE"""),"No, not Hispanic or Latino")</f>
        <v>No, not Hispanic or Latino</v>
      </c>
      <c r="G218" s="1" t="str">
        <f>IFERROR(__xludf.DUMMYFUNCTION("""COMPUTED_VALUE"""),"Chinese")</f>
        <v>Chinese</v>
      </c>
      <c r="H218" s="2">
        <f>IFERROR(__xludf.DUMMYFUNCTION("""COMPUTED_VALUE"""),1064.0)</f>
        <v>1064</v>
      </c>
      <c r="I218" s="1" t="str">
        <f>IFERROR(__xludf.DUMMYFUNCTION("""COMPUTED_VALUE"""),"001205")</f>
        <v>001205</v>
      </c>
      <c r="J218" s="3">
        <f>IFERROR(__xludf.DUMMYFUNCTION("""COMPUTED_VALUE"""),45889.0)</f>
        <v>45889</v>
      </c>
    </row>
    <row r="219">
      <c r="A219" s="1" t="str">
        <f>IFERROR(__xludf.DUMMYFUNCTION("""COMPUTED_VALUE"""),"2199468543")</f>
        <v>2199468543</v>
      </c>
      <c r="B219" s="1" t="str">
        <f>IFERROR(__xludf.DUMMYFUNCTION("""COMPUTED_VALUE"""),"Zacarias Cifuentes")</f>
        <v>Zacarias Cifuentes</v>
      </c>
      <c r="C219" s="1" t="str">
        <f>IFERROR(__xludf.DUMMYFUNCTION("""COMPUTED_VALUE"""),"Emanuel")</f>
        <v>Emanuel</v>
      </c>
      <c r="D219" s="2">
        <f>IFERROR(__xludf.DUMMYFUNCTION("""COMPUTED_VALUE"""),7.0)</f>
        <v>7</v>
      </c>
      <c r="E219" s="1" t="str">
        <f>IFERROR(__xludf.DUMMYFUNCTION("""COMPUTED_VALUE"""),"M")</f>
        <v>M</v>
      </c>
      <c r="F219" s="1" t="str">
        <f>IFERROR(__xludf.DUMMYFUNCTION("""COMPUTED_VALUE"""),"Yes, Hispanic or Latino")</f>
        <v>Yes, Hispanic or Latino</v>
      </c>
      <c r="G219" s="1" t="str">
        <f>IFERROR(__xludf.DUMMYFUNCTION("""COMPUTED_VALUE"""),"White")</f>
        <v>White</v>
      </c>
      <c r="H219" s="2">
        <f>IFERROR(__xludf.DUMMYFUNCTION("""COMPUTED_VALUE"""),1064.0)</f>
        <v>1064</v>
      </c>
      <c r="I219" s="1" t="str">
        <f>IFERROR(__xludf.DUMMYFUNCTION("""COMPUTED_VALUE"""),"001205")</f>
        <v>001205</v>
      </c>
      <c r="J219" s="3">
        <f>IFERROR(__xludf.DUMMYFUNCTION("""COMPUTED_VALUE"""),45889.0)</f>
        <v>45889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17.13"/>
    <col customWidth="1" min="3" max="3" width="17.38"/>
    <col customWidth="1" min="4" max="4" width="13.63"/>
    <col customWidth="1" min="6" max="7" width="26.38"/>
    <col customWidth="1" min="8" max="8" width="15.75"/>
    <col customWidth="1" min="9" max="9" width="16.63"/>
    <col customWidth="1" min="10" max="10" width="18.63"/>
  </cols>
  <sheetData>
    <row r="1" ht="22.5" customHeight="1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7" t="s">
        <v>9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9" t="s">
        <v>10</v>
      </c>
      <c r="B2" s="9" t="s">
        <v>11</v>
      </c>
      <c r="C2" s="9" t="s">
        <v>12</v>
      </c>
      <c r="D2" s="10">
        <v>8.0</v>
      </c>
      <c r="E2" s="9" t="s">
        <v>13</v>
      </c>
      <c r="F2" s="9" t="s">
        <v>14</v>
      </c>
      <c r="G2" s="9" t="s">
        <v>15</v>
      </c>
      <c r="H2" s="10">
        <v>1056.0</v>
      </c>
      <c r="I2" s="9" t="s">
        <v>16</v>
      </c>
      <c r="J2" s="11">
        <v>44428.0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9" t="s">
        <v>17</v>
      </c>
      <c r="B3" s="9" t="s">
        <v>18</v>
      </c>
      <c r="C3" s="9" t="s">
        <v>19</v>
      </c>
      <c r="D3" s="10">
        <v>8.0</v>
      </c>
      <c r="E3" s="9" t="s">
        <v>20</v>
      </c>
      <c r="F3" s="9" t="s">
        <v>14</v>
      </c>
      <c r="G3" s="9" t="s">
        <v>15</v>
      </c>
      <c r="H3" s="10">
        <v>1056.0</v>
      </c>
      <c r="I3" s="9" t="s">
        <v>16</v>
      </c>
      <c r="J3" s="11">
        <v>44428.0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9" t="s">
        <v>21</v>
      </c>
      <c r="B4" s="9" t="s">
        <v>22</v>
      </c>
      <c r="C4" s="9" t="s">
        <v>23</v>
      </c>
      <c r="D4" s="10">
        <v>8.0</v>
      </c>
      <c r="E4" s="9" t="s">
        <v>13</v>
      </c>
      <c r="F4" s="9" t="s">
        <v>14</v>
      </c>
      <c r="G4" s="9" t="s">
        <v>15</v>
      </c>
      <c r="H4" s="10">
        <v>1056.0</v>
      </c>
      <c r="I4" s="9" t="s">
        <v>16</v>
      </c>
      <c r="J4" s="11">
        <v>44428.0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2.5" customHeight="1">
      <c r="A5" s="9" t="s">
        <v>24</v>
      </c>
      <c r="B5" s="9" t="s">
        <v>25</v>
      </c>
      <c r="C5" s="9" t="s">
        <v>26</v>
      </c>
      <c r="D5" s="10">
        <v>7.0</v>
      </c>
      <c r="E5" s="9" t="s">
        <v>13</v>
      </c>
      <c r="F5" s="9" t="s">
        <v>14</v>
      </c>
      <c r="G5" s="9" t="s">
        <v>27</v>
      </c>
      <c r="H5" s="10">
        <v>1056.0</v>
      </c>
      <c r="I5" s="9" t="s">
        <v>16</v>
      </c>
      <c r="J5" s="11">
        <v>44428.0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2.5" customHeight="1">
      <c r="A6" s="9" t="s">
        <v>28</v>
      </c>
      <c r="B6" s="9" t="s">
        <v>29</v>
      </c>
      <c r="C6" s="9" t="s">
        <v>30</v>
      </c>
      <c r="D6" s="10">
        <v>8.0</v>
      </c>
      <c r="E6" s="9" t="s">
        <v>20</v>
      </c>
      <c r="F6" s="9" t="s">
        <v>14</v>
      </c>
      <c r="G6" s="9" t="s">
        <v>15</v>
      </c>
      <c r="H6" s="10">
        <v>1056.0</v>
      </c>
      <c r="I6" s="9" t="s">
        <v>16</v>
      </c>
      <c r="J6" s="11">
        <v>44428.0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9" t="s">
        <v>31</v>
      </c>
      <c r="B7" s="9" t="s">
        <v>32</v>
      </c>
      <c r="C7" s="9" t="s">
        <v>33</v>
      </c>
      <c r="D7" s="10">
        <v>8.0</v>
      </c>
      <c r="E7" s="9" t="s">
        <v>20</v>
      </c>
      <c r="F7" s="9" t="s">
        <v>14</v>
      </c>
      <c r="G7" s="9" t="s">
        <v>15</v>
      </c>
      <c r="H7" s="10">
        <v>1056.0</v>
      </c>
      <c r="I7" s="9" t="s">
        <v>16</v>
      </c>
      <c r="J7" s="11">
        <v>44428.0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2.5" customHeight="1">
      <c r="A8" s="9" t="s">
        <v>34</v>
      </c>
      <c r="B8" s="9" t="s">
        <v>35</v>
      </c>
      <c r="C8" s="9" t="s">
        <v>26</v>
      </c>
      <c r="D8" s="10">
        <v>8.0</v>
      </c>
      <c r="E8" s="9" t="s">
        <v>13</v>
      </c>
      <c r="F8" s="9" t="s">
        <v>14</v>
      </c>
      <c r="G8" s="9" t="s">
        <v>15</v>
      </c>
      <c r="H8" s="10">
        <v>1056.0</v>
      </c>
      <c r="I8" s="9" t="s">
        <v>16</v>
      </c>
      <c r="J8" s="11">
        <v>44428.0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2.5" customHeight="1">
      <c r="A9" s="9" t="s">
        <v>36</v>
      </c>
      <c r="B9" s="9" t="s">
        <v>37</v>
      </c>
      <c r="C9" s="9" t="s">
        <v>38</v>
      </c>
      <c r="D9" s="10">
        <v>8.0</v>
      </c>
      <c r="E9" s="9" t="s">
        <v>20</v>
      </c>
      <c r="F9" s="9" t="s">
        <v>39</v>
      </c>
      <c r="G9" s="9" t="s">
        <v>15</v>
      </c>
      <c r="H9" s="10">
        <v>1056.0</v>
      </c>
      <c r="I9" s="9" t="s">
        <v>16</v>
      </c>
      <c r="J9" s="11">
        <v>44428.0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2.5" customHeight="1">
      <c r="A10" s="9" t="s">
        <v>40</v>
      </c>
      <c r="B10" s="9" t="s">
        <v>41</v>
      </c>
      <c r="C10" s="9" t="s">
        <v>42</v>
      </c>
      <c r="D10" s="10">
        <v>8.0</v>
      </c>
      <c r="E10" s="9" t="s">
        <v>13</v>
      </c>
      <c r="F10" s="9" t="s">
        <v>14</v>
      </c>
      <c r="G10" s="9" t="s">
        <v>15</v>
      </c>
      <c r="H10" s="10">
        <v>1056.0</v>
      </c>
      <c r="I10" s="9" t="s">
        <v>16</v>
      </c>
      <c r="J10" s="11">
        <v>44428.0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9" t="s">
        <v>43</v>
      </c>
      <c r="B11" s="9" t="s">
        <v>44</v>
      </c>
      <c r="C11" s="9" t="s">
        <v>45</v>
      </c>
      <c r="D11" s="10">
        <v>8.0</v>
      </c>
      <c r="E11" s="9" t="s">
        <v>13</v>
      </c>
      <c r="F11" s="9" t="s">
        <v>39</v>
      </c>
      <c r="G11" s="9" t="s">
        <v>15</v>
      </c>
      <c r="H11" s="10">
        <v>1056.0</v>
      </c>
      <c r="I11" s="9" t="s">
        <v>16</v>
      </c>
      <c r="J11" s="11">
        <v>44428.0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2.5" customHeight="1">
      <c r="A12" s="9" t="s">
        <v>46</v>
      </c>
      <c r="B12" s="9" t="s">
        <v>47</v>
      </c>
      <c r="C12" s="9" t="s">
        <v>48</v>
      </c>
      <c r="D12" s="10">
        <v>8.0</v>
      </c>
      <c r="E12" s="9" t="s">
        <v>13</v>
      </c>
      <c r="F12" s="9" t="s">
        <v>14</v>
      </c>
      <c r="G12" s="9" t="s">
        <v>15</v>
      </c>
      <c r="H12" s="10">
        <v>1056.0</v>
      </c>
      <c r="I12" s="9" t="s">
        <v>16</v>
      </c>
      <c r="J12" s="11">
        <v>44428.0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2.5" customHeight="1">
      <c r="A13" s="9" t="s">
        <v>49</v>
      </c>
      <c r="B13" s="9" t="s">
        <v>50</v>
      </c>
      <c r="C13" s="9" t="s">
        <v>51</v>
      </c>
      <c r="D13" s="10">
        <v>7.0</v>
      </c>
      <c r="E13" s="9" t="s">
        <v>13</v>
      </c>
      <c r="F13" s="9" t="s">
        <v>14</v>
      </c>
      <c r="G13" s="9" t="s">
        <v>52</v>
      </c>
      <c r="H13" s="10">
        <v>1056.0</v>
      </c>
      <c r="I13" s="9" t="s">
        <v>16</v>
      </c>
      <c r="J13" s="11">
        <v>44428.0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9" t="s">
        <v>53</v>
      </c>
      <c r="B14" s="9" t="s">
        <v>54</v>
      </c>
      <c r="C14" s="9" t="s">
        <v>55</v>
      </c>
      <c r="D14" s="10">
        <v>8.0</v>
      </c>
      <c r="E14" s="9" t="s">
        <v>20</v>
      </c>
      <c r="F14" s="9" t="s">
        <v>14</v>
      </c>
      <c r="G14" s="9" t="s">
        <v>27</v>
      </c>
      <c r="H14" s="10">
        <v>1056.0</v>
      </c>
      <c r="I14" s="9" t="s">
        <v>16</v>
      </c>
      <c r="J14" s="11">
        <v>44428.0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2.5" customHeight="1">
      <c r="A15" s="9" t="s">
        <v>56</v>
      </c>
      <c r="B15" s="9" t="s">
        <v>57</v>
      </c>
      <c r="C15" s="9" t="s">
        <v>58</v>
      </c>
      <c r="D15" s="10">
        <v>8.0</v>
      </c>
      <c r="E15" s="9" t="s">
        <v>20</v>
      </c>
      <c r="F15" s="9" t="s">
        <v>39</v>
      </c>
      <c r="G15" s="9" t="s">
        <v>59</v>
      </c>
      <c r="H15" s="10">
        <v>1056.0</v>
      </c>
      <c r="I15" s="9" t="s">
        <v>16</v>
      </c>
      <c r="J15" s="11">
        <v>44428.0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2.5" customHeight="1">
      <c r="A16" s="9" t="s">
        <v>60</v>
      </c>
      <c r="B16" s="9" t="s">
        <v>61</v>
      </c>
      <c r="C16" s="9" t="s">
        <v>62</v>
      </c>
      <c r="D16" s="10">
        <v>8.0</v>
      </c>
      <c r="E16" s="9" t="s">
        <v>13</v>
      </c>
      <c r="F16" s="9" t="s">
        <v>14</v>
      </c>
      <c r="G16" s="9" t="s">
        <v>15</v>
      </c>
      <c r="H16" s="10">
        <v>1056.0</v>
      </c>
      <c r="I16" s="9" t="s">
        <v>16</v>
      </c>
      <c r="J16" s="11">
        <v>44428.0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2.5" customHeight="1">
      <c r="A17" s="9" t="s">
        <v>63</v>
      </c>
      <c r="B17" s="9" t="s">
        <v>64</v>
      </c>
      <c r="C17" s="9" t="s">
        <v>62</v>
      </c>
      <c r="D17" s="10">
        <v>8.0</v>
      </c>
      <c r="E17" s="9" t="s">
        <v>13</v>
      </c>
      <c r="F17" s="9" t="s">
        <v>14</v>
      </c>
      <c r="G17" s="9" t="s">
        <v>15</v>
      </c>
      <c r="H17" s="10">
        <v>1056.0</v>
      </c>
      <c r="I17" s="9" t="s">
        <v>16</v>
      </c>
      <c r="J17" s="11">
        <v>44428.0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2.5" customHeight="1">
      <c r="A18" s="9" t="s">
        <v>65</v>
      </c>
      <c r="B18" s="9" t="s">
        <v>66</v>
      </c>
      <c r="C18" s="9" t="s">
        <v>67</v>
      </c>
      <c r="D18" s="10">
        <v>8.0</v>
      </c>
      <c r="E18" s="9" t="s">
        <v>20</v>
      </c>
      <c r="F18" s="9" t="s">
        <v>14</v>
      </c>
      <c r="G18" s="9" t="s">
        <v>15</v>
      </c>
      <c r="H18" s="10">
        <v>1056.0</v>
      </c>
      <c r="I18" s="9" t="s">
        <v>16</v>
      </c>
      <c r="J18" s="11">
        <v>44428.0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2.5" customHeight="1">
      <c r="A19" s="9" t="s">
        <v>68</v>
      </c>
      <c r="B19" s="9" t="s">
        <v>69</v>
      </c>
      <c r="C19" s="9" t="s">
        <v>70</v>
      </c>
      <c r="D19" s="10">
        <v>7.0</v>
      </c>
      <c r="E19" s="9" t="s">
        <v>13</v>
      </c>
      <c r="F19" s="9" t="s">
        <v>14</v>
      </c>
      <c r="G19" s="9" t="s">
        <v>15</v>
      </c>
      <c r="H19" s="10">
        <v>1056.0</v>
      </c>
      <c r="I19" s="9" t="s">
        <v>16</v>
      </c>
      <c r="J19" s="11">
        <v>44428.0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2.5" customHeight="1">
      <c r="A20" s="9" t="s">
        <v>71</v>
      </c>
      <c r="B20" s="9" t="s">
        <v>72</v>
      </c>
      <c r="C20" s="9" t="s">
        <v>73</v>
      </c>
      <c r="D20" s="10">
        <v>8.0</v>
      </c>
      <c r="E20" s="9" t="s">
        <v>13</v>
      </c>
      <c r="F20" s="9" t="s">
        <v>14</v>
      </c>
      <c r="G20" s="9" t="s">
        <v>15</v>
      </c>
      <c r="H20" s="10">
        <v>1056.0</v>
      </c>
      <c r="I20" s="9" t="s">
        <v>16</v>
      </c>
      <c r="J20" s="11">
        <v>44428.0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2.5" customHeight="1">
      <c r="A21" s="9" t="s">
        <v>74</v>
      </c>
      <c r="B21" s="9" t="s">
        <v>75</v>
      </c>
      <c r="C21" s="9" t="s">
        <v>76</v>
      </c>
      <c r="D21" s="10">
        <v>8.0</v>
      </c>
      <c r="E21" s="9" t="s">
        <v>13</v>
      </c>
      <c r="F21" s="9" t="s">
        <v>14</v>
      </c>
      <c r="G21" s="9" t="s">
        <v>77</v>
      </c>
      <c r="H21" s="10">
        <v>1056.0</v>
      </c>
      <c r="I21" s="9" t="s">
        <v>16</v>
      </c>
      <c r="J21" s="11">
        <v>44428.0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2.5" customHeight="1">
      <c r="A22" s="9" t="s">
        <v>78</v>
      </c>
      <c r="B22" s="9" t="s">
        <v>79</v>
      </c>
      <c r="C22" s="9" t="s">
        <v>80</v>
      </c>
      <c r="D22" s="10">
        <v>8.0</v>
      </c>
      <c r="E22" s="9" t="s">
        <v>13</v>
      </c>
      <c r="F22" s="9" t="s">
        <v>14</v>
      </c>
      <c r="G22" s="9" t="s">
        <v>15</v>
      </c>
      <c r="H22" s="10">
        <v>1056.0</v>
      </c>
      <c r="I22" s="9" t="s">
        <v>16</v>
      </c>
      <c r="J22" s="11">
        <v>44428.0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2.5" customHeight="1">
      <c r="A23" s="9" t="s">
        <v>81</v>
      </c>
      <c r="B23" s="9" t="s">
        <v>82</v>
      </c>
      <c r="C23" s="9" t="s">
        <v>83</v>
      </c>
      <c r="D23" s="10">
        <v>7.0</v>
      </c>
      <c r="E23" s="9" t="s">
        <v>20</v>
      </c>
      <c r="F23" s="9" t="s">
        <v>39</v>
      </c>
      <c r="G23" s="9" t="s">
        <v>15</v>
      </c>
      <c r="H23" s="10">
        <v>1056.0</v>
      </c>
      <c r="I23" s="9" t="s">
        <v>16</v>
      </c>
      <c r="J23" s="11">
        <v>44428.0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2.5" customHeight="1">
      <c r="A24" s="9" t="s">
        <v>84</v>
      </c>
      <c r="B24" s="9" t="s">
        <v>85</v>
      </c>
      <c r="C24" s="9" t="s">
        <v>86</v>
      </c>
      <c r="D24" s="10">
        <v>8.0</v>
      </c>
      <c r="E24" s="9" t="s">
        <v>13</v>
      </c>
      <c r="F24" s="9" t="s">
        <v>39</v>
      </c>
      <c r="G24" s="9" t="s">
        <v>59</v>
      </c>
      <c r="H24" s="10">
        <v>1056.0</v>
      </c>
      <c r="I24" s="9" t="s">
        <v>16</v>
      </c>
      <c r="J24" s="11">
        <v>44428.0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2.5" customHeight="1">
      <c r="A25" s="9" t="s">
        <v>87</v>
      </c>
      <c r="B25" s="9" t="s">
        <v>88</v>
      </c>
      <c r="C25" s="9" t="s">
        <v>89</v>
      </c>
      <c r="D25" s="10">
        <v>7.0</v>
      </c>
      <c r="E25" s="9" t="s">
        <v>13</v>
      </c>
      <c r="F25" s="9" t="s">
        <v>39</v>
      </c>
      <c r="G25" s="9" t="s">
        <v>15</v>
      </c>
      <c r="H25" s="10">
        <v>1056.0</v>
      </c>
      <c r="I25" s="9" t="s">
        <v>16</v>
      </c>
      <c r="J25" s="11">
        <v>44428.0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2.5" customHeight="1">
      <c r="A26" s="9" t="s">
        <v>90</v>
      </c>
      <c r="B26" s="9" t="s">
        <v>91</v>
      </c>
      <c r="C26" s="9" t="s">
        <v>92</v>
      </c>
      <c r="D26" s="10">
        <v>7.0</v>
      </c>
      <c r="E26" s="9" t="s">
        <v>13</v>
      </c>
      <c r="F26" s="9" t="s">
        <v>14</v>
      </c>
      <c r="G26" s="9" t="s">
        <v>93</v>
      </c>
      <c r="H26" s="10">
        <v>1056.0</v>
      </c>
      <c r="I26" s="9" t="s">
        <v>16</v>
      </c>
      <c r="J26" s="11">
        <v>44428.0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2.5" customHeight="1">
      <c r="A27" s="9" t="s">
        <v>94</v>
      </c>
      <c r="B27" s="9" t="s">
        <v>95</v>
      </c>
      <c r="C27" s="9" t="s">
        <v>96</v>
      </c>
      <c r="D27" s="10">
        <v>8.0</v>
      </c>
      <c r="E27" s="9" t="s">
        <v>20</v>
      </c>
      <c r="F27" s="9" t="s">
        <v>14</v>
      </c>
      <c r="G27" s="9" t="s">
        <v>15</v>
      </c>
      <c r="H27" s="10">
        <v>1056.0</v>
      </c>
      <c r="I27" s="9" t="s">
        <v>16</v>
      </c>
      <c r="J27" s="11">
        <v>44428.0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2.5" customHeight="1">
      <c r="A28" s="9" t="s">
        <v>97</v>
      </c>
      <c r="B28" s="9" t="s">
        <v>98</v>
      </c>
      <c r="C28" s="9" t="s">
        <v>99</v>
      </c>
      <c r="D28" s="10">
        <v>8.0</v>
      </c>
      <c r="E28" s="9" t="s">
        <v>13</v>
      </c>
      <c r="F28" s="9" t="s">
        <v>14</v>
      </c>
      <c r="G28" s="9" t="s">
        <v>15</v>
      </c>
      <c r="H28" s="10">
        <v>1056.0</v>
      </c>
      <c r="I28" s="9" t="s">
        <v>16</v>
      </c>
      <c r="J28" s="11">
        <v>44428.0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2.5" customHeight="1">
      <c r="A29" s="9" t="s">
        <v>100</v>
      </c>
      <c r="B29" s="9" t="s">
        <v>101</v>
      </c>
      <c r="C29" s="9" t="s">
        <v>102</v>
      </c>
      <c r="D29" s="10">
        <v>8.0</v>
      </c>
      <c r="E29" s="9" t="s">
        <v>13</v>
      </c>
      <c r="F29" s="9" t="s">
        <v>14</v>
      </c>
      <c r="G29" s="9" t="s">
        <v>15</v>
      </c>
      <c r="H29" s="10">
        <v>1056.0</v>
      </c>
      <c r="I29" s="9" t="s">
        <v>16</v>
      </c>
      <c r="J29" s="11">
        <v>44428.0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2.5" customHeight="1">
      <c r="A30" s="9" t="s">
        <v>103</v>
      </c>
      <c r="B30" s="9" t="s">
        <v>104</v>
      </c>
      <c r="C30" s="9" t="s">
        <v>105</v>
      </c>
      <c r="D30" s="10">
        <v>7.0</v>
      </c>
      <c r="E30" s="9" t="s">
        <v>13</v>
      </c>
      <c r="F30" s="9" t="s">
        <v>39</v>
      </c>
      <c r="G30" s="9" t="s">
        <v>15</v>
      </c>
      <c r="H30" s="10">
        <v>1056.0</v>
      </c>
      <c r="I30" s="9" t="s">
        <v>16</v>
      </c>
      <c r="J30" s="11">
        <v>44428.0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2.5" customHeight="1">
      <c r="A31" s="9" t="s">
        <v>106</v>
      </c>
      <c r="B31" s="9" t="s">
        <v>107</v>
      </c>
      <c r="C31" s="9" t="s">
        <v>108</v>
      </c>
      <c r="D31" s="10">
        <v>7.0</v>
      </c>
      <c r="E31" s="9" t="s">
        <v>13</v>
      </c>
      <c r="F31" s="9" t="s">
        <v>14</v>
      </c>
      <c r="G31" s="9" t="s">
        <v>15</v>
      </c>
      <c r="H31" s="10">
        <v>1056.0</v>
      </c>
      <c r="I31" s="9" t="s">
        <v>16</v>
      </c>
      <c r="J31" s="11">
        <v>44428.0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2.5" customHeight="1">
      <c r="A32" s="9" t="s">
        <v>109</v>
      </c>
      <c r="B32" s="9" t="s">
        <v>110</v>
      </c>
      <c r="C32" s="9" t="s">
        <v>111</v>
      </c>
      <c r="D32" s="10">
        <v>7.0</v>
      </c>
      <c r="E32" s="9" t="s">
        <v>13</v>
      </c>
      <c r="F32" s="9" t="s">
        <v>14</v>
      </c>
      <c r="G32" s="9" t="s">
        <v>93</v>
      </c>
      <c r="H32" s="10">
        <v>1056.0</v>
      </c>
      <c r="I32" s="9" t="s">
        <v>16</v>
      </c>
      <c r="J32" s="11">
        <v>44428.0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2.5" customHeight="1">
      <c r="A33" s="9" t="s">
        <v>112</v>
      </c>
      <c r="B33" s="9" t="s">
        <v>113</v>
      </c>
      <c r="C33" s="9" t="s">
        <v>114</v>
      </c>
      <c r="D33" s="10">
        <v>8.0</v>
      </c>
      <c r="E33" s="9" t="s">
        <v>13</v>
      </c>
      <c r="F33" s="9" t="s">
        <v>14</v>
      </c>
      <c r="G33" s="9" t="s">
        <v>15</v>
      </c>
      <c r="H33" s="10">
        <v>1056.0</v>
      </c>
      <c r="I33" s="9" t="s">
        <v>16</v>
      </c>
      <c r="J33" s="11">
        <v>44428.0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custom" allowBlank="1" showDropDown="1" sqref="J2:J33">
      <formula1>OR(NOT(ISERROR(DATEVALUE(J2))), AND(ISNUMBER(J2), LEFT(CELL("format", J2))="D"))</formula1>
    </dataValidation>
    <dataValidation type="custom" allowBlank="1" showDropDown="1" sqref="D2:D33 H2:H33">
      <formula1>AND(ISNUMBER(D2),(NOT(OR(NOT(ISERROR(DATEVALUE(D2))), AND(ISNUMBER(D2), LEFT(CELL("format", D2))="D")))))</formula1>
    </dataValidation>
    <dataValidation allowBlank="1" showDropDown="1" sqref="A2:C33 E2:G33 I2:I33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17.13"/>
    <col customWidth="1" min="3" max="3" width="17.38"/>
    <col customWidth="1" min="4" max="4" width="13.63"/>
    <col customWidth="1" min="6" max="7" width="26.38"/>
    <col customWidth="1" min="8" max="8" width="15.75"/>
    <col customWidth="1" min="9" max="9" width="16.63"/>
    <col customWidth="1" min="10" max="10" width="18.63"/>
  </cols>
  <sheetData>
    <row r="1" ht="22.5" customHeight="1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7" t="s">
        <v>9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9" t="s">
        <v>115</v>
      </c>
      <c r="B2" s="9" t="s">
        <v>116</v>
      </c>
      <c r="C2" s="9" t="s">
        <v>117</v>
      </c>
      <c r="D2" s="10">
        <v>7.0</v>
      </c>
      <c r="E2" s="12" t="s">
        <v>13</v>
      </c>
      <c r="F2" s="9" t="s">
        <v>39</v>
      </c>
      <c r="G2" s="9" t="s">
        <v>118</v>
      </c>
      <c r="H2" s="10">
        <v>1014.0</v>
      </c>
      <c r="I2" s="9" t="s">
        <v>16</v>
      </c>
      <c r="J2" s="11">
        <v>44792.0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9" t="s">
        <v>119</v>
      </c>
      <c r="B3" s="9" t="s">
        <v>120</v>
      </c>
      <c r="C3" s="9" t="s">
        <v>121</v>
      </c>
      <c r="D3" s="10">
        <v>8.0</v>
      </c>
      <c r="E3" s="12" t="s">
        <v>20</v>
      </c>
      <c r="F3" s="9" t="s">
        <v>14</v>
      </c>
      <c r="G3" s="9" t="s">
        <v>93</v>
      </c>
      <c r="H3" s="10">
        <v>1014.0</v>
      </c>
      <c r="I3" s="9" t="s">
        <v>16</v>
      </c>
      <c r="J3" s="11">
        <v>44792.0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9" t="s">
        <v>122</v>
      </c>
      <c r="B4" s="9" t="s">
        <v>123</v>
      </c>
      <c r="C4" s="9" t="s">
        <v>124</v>
      </c>
      <c r="D4" s="10">
        <v>7.0</v>
      </c>
      <c r="E4" s="12" t="s">
        <v>20</v>
      </c>
      <c r="F4" s="9" t="s">
        <v>14</v>
      </c>
      <c r="G4" s="9" t="s">
        <v>15</v>
      </c>
      <c r="H4" s="10">
        <v>1014.0</v>
      </c>
      <c r="I4" s="9" t="s">
        <v>16</v>
      </c>
      <c r="J4" s="11">
        <v>44792.0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2.5" customHeight="1">
      <c r="A5" s="9" t="s">
        <v>24</v>
      </c>
      <c r="B5" s="9" t="s">
        <v>25</v>
      </c>
      <c r="C5" s="9" t="s">
        <v>26</v>
      </c>
      <c r="D5" s="10">
        <v>8.0</v>
      </c>
      <c r="E5" s="12" t="s">
        <v>13</v>
      </c>
      <c r="F5" s="9" t="s">
        <v>14</v>
      </c>
      <c r="G5" s="9" t="s">
        <v>27</v>
      </c>
      <c r="H5" s="10">
        <v>1014.0</v>
      </c>
      <c r="I5" s="9" t="s">
        <v>16</v>
      </c>
      <c r="J5" s="11">
        <v>44792.0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2.5" customHeight="1">
      <c r="A6" s="9" t="s">
        <v>125</v>
      </c>
      <c r="B6" s="9" t="s">
        <v>29</v>
      </c>
      <c r="C6" s="9" t="s">
        <v>126</v>
      </c>
      <c r="D6" s="10">
        <v>7.0</v>
      </c>
      <c r="E6" s="12" t="s">
        <v>20</v>
      </c>
      <c r="F6" s="9" t="s">
        <v>14</v>
      </c>
      <c r="G6" s="9" t="s">
        <v>15</v>
      </c>
      <c r="H6" s="10">
        <v>1014.0</v>
      </c>
      <c r="I6" s="9" t="s">
        <v>16</v>
      </c>
      <c r="J6" s="11">
        <v>44792.0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9" t="s">
        <v>127</v>
      </c>
      <c r="B7" s="9" t="s">
        <v>128</v>
      </c>
      <c r="C7" s="9" t="s">
        <v>129</v>
      </c>
      <c r="D7" s="10">
        <v>8.0</v>
      </c>
      <c r="E7" s="12" t="s">
        <v>20</v>
      </c>
      <c r="F7" s="9" t="s">
        <v>14</v>
      </c>
      <c r="G7" s="9" t="s">
        <v>15</v>
      </c>
      <c r="H7" s="10">
        <v>1014.0</v>
      </c>
      <c r="I7" s="9" t="s">
        <v>16</v>
      </c>
      <c r="J7" s="11">
        <v>44792.0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2.5" customHeight="1">
      <c r="A8" s="9" t="s">
        <v>130</v>
      </c>
      <c r="B8" s="9" t="s">
        <v>131</v>
      </c>
      <c r="C8" s="9" t="s">
        <v>132</v>
      </c>
      <c r="D8" s="10">
        <v>8.0</v>
      </c>
      <c r="E8" s="12" t="s">
        <v>13</v>
      </c>
      <c r="F8" s="9" t="s">
        <v>14</v>
      </c>
      <c r="G8" s="9" t="s">
        <v>15</v>
      </c>
      <c r="H8" s="10">
        <v>1014.0</v>
      </c>
      <c r="I8" s="9" t="s">
        <v>16</v>
      </c>
      <c r="J8" s="11">
        <v>44792.0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2.5" customHeight="1">
      <c r="A9" s="9" t="s">
        <v>133</v>
      </c>
      <c r="B9" s="9" t="s">
        <v>134</v>
      </c>
      <c r="C9" s="9" t="s">
        <v>135</v>
      </c>
      <c r="D9" s="10">
        <v>7.0</v>
      </c>
      <c r="E9" s="12" t="s">
        <v>13</v>
      </c>
      <c r="F9" s="9" t="s">
        <v>14</v>
      </c>
      <c r="G9" s="9" t="s">
        <v>15</v>
      </c>
      <c r="H9" s="10">
        <v>1014.0</v>
      </c>
      <c r="I9" s="9" t="s">
        <v>16</v>
      </c>
      <c r="J9" s="11">
        <v>44792.0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2.5" customHeight="1">
      <c r="A10" s="9" t="s">
        <v>136</v>
      </c>
      <c r="B10" s="9" t="s">
        <v>137</v>
      </c>
      <c r="C10" s="9" t="s">
        <v>135</v>
      </c>
      <c r="D10" s="10">
        <v>8.0</v>
      </c>
      <c r="E10" s="12" t="s">
        <v>13</v>
      </c>
      <c r="F10" s="9" t="s">
        <v>14</v>
      </c>
      <c r="G10" s="9" t="s">
        <v>15</v>
      </c>
      <c r="H10" s="10">
        <v>1014.0</v>
      </c>
      <c r="I10" s="9" t="s">
        <v>16</v>
      </c>
      <c r="J10" s="11">
        <v>44792.0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9" t="s">
        <v>138</v>
      </c>
      <c r="B11" s="9" t="s">
        <v>139</v>
      </c>
      <c r="C11" s="9" t="s">
        <v>140</v>
      </c>
      <c r="D11" s="10">
        <v>8.0</v>
      </c>
      <c r="E11" s="12" t="s">
        <v>13</v>
      </c>
      <c r="F11" s="9" t="s">
        <v>14</v>
      </c>
      <c r="G11" s="9" t="s">
        <v>15</v>
      </c>
      <c r="H11" s="10">
        <v>1014.0</v>
      </c>
      <c r="I11" s="9" t="s">
        <v>16</v>
      </c>
      <c r="J11" s="11">
        <v>44792.0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2.5" customHeight="1">
      <c r="A12" s="9" t="s">
        <v>141</v>
      </c>
      <c r="B12" s="9" t="s">
        <v>142</v>
      </c>
      <c r="C12" s="9" t="s">
        <v>143</v>
      </c>
      <c r="D12" s="10">
        <v>8.0</v>
      </c>
      <c r="E12" s="12" t="s">
        <v>13</v>
      </c>
      <c r="F12" s="9" t="s">
        <v>14</v>
      </c>
      <c r="G12" s="9" t="s">
        <v>15</v>
      </c>
      <c r="H12" s="10">
        <v>1014.0</v>
      </c>
      <c r="I12" s="9" t="s">
        <v>16</v>
      </c>
      <c r="J12" s="11">
        <v>44792.0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2.5" customHeight="1">
      <c r="A13" s="9" t="s">
        <v>144</v>
      </c>
      <c r="B13" s="9" t="s">
        <v>145</v>
      </c>
      <c r="C13" s="9" t="s">
        <v>146</v>
      </c>
      <c r="D13" s="10">
        <v>8.0</v>
      </c>
      <c r="E13" s="12" t="s">
        <v>20</v>
      </c>
      <c r="F13" s="9" t="s">
        <v>39</v>
      </c>
      <c r="G13" s="9" t="s">
        <v>15</v>
      </c>
      <c r="H13" s="10">
        <v>1014.0</v>
      </c>
      <c r="I13" s="9" t="s">
        <v>16</v>
      </c>
      <c r="J13" s="11">
        <v>44792.0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9" t="s">
        <v>49</v>
      </c>
      <c r="B14" s="9" t="s">
        <v>50</v>
      </c>
      <c r="C14" s="9" t="s">
        <v>51</v>
      </c>
      <c r="D14" s="10">
        <v>8.0</v>
      </c>
      <c r="E14" s="12" t="s">
        <v>13</v>
      </c>
      <c r="F14" s="9" t="s">
        <v>14</v>
      </c>
      <c r="G14" s="9" t="s">
        <v>52</v>
      </c>
      <c r="H14" s="10">
        <v>1014.0</v>
      </c>
      <c r="I14" s="9" t="s">
        <v>16</v>
      </c>
      <c r="J14" s="11">
        <v>44792.0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2.5" customHeight="1">
      <c r="A15" s="9" t="s">
        <v>147</v>
      </c>
      <c r="B15" s="9" t="s">
        <v>148</v>
      </c>
      <c r="C15" s="9" t="s">
        <v>149</v>
      </c>
      <c r="D15" s="10">
        <v>8.0</v>
      </c>
      <c r="E15" s="12" t="s">
        <v>13</v>
      </c>
      <c r="F15" s="9" t="s">
        <v>14</v>
      </c>
      <c r="G15" s="9" t="s">
        <v>150</v>
      </c>
      <c r="H15" s="10">
        <v>1014.0</v>
      </c>
      <c r="I15" s="9" t="s">
        <v>16</v>
      </c>
      <c r="J15" s="11">
        <v>44792.0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2.5" customHeight="1">
      <c r="A16" s="9" t="s">
        <v>151</v>
      </c>
      <c r="B16" s="9" t="s">
        <v>152</v>
      </c>
      <c r="C16" s="9" t="s">
        <v>153</v>
      </c>
      <c r="D16" s="10">
        <v>7.0</v>
      </c>
      <c r="E16" s="12" t="s">
        <v>13</v>
      </c>
      <c r="F16" s="9" t="s">
        <v>14</v>
      </c>
      <c r="G16" s="9" t="s">
        <v>15</v>
      </c>
      <c r="H16" s="10">
        <v>1014.0</v>
      </c>
      <c r="I16" s="9" t="s">
        <v>16</v>
      </c>
      <c r="J16" s="11">
        <v>44792.0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2.5" customHeight="1">
      <c r="A17" s="9" t="s">
        <v>68</v>
      </c>
      <c r="B17" s="9" t="s">
        <v>69</v>
      </c>
      <c r="C17" s="9" t="s">
        <v>70</v>
      </c>
      <c r="D17" s="10">
        <v>8.0</v>
      </c>
      <c r="E17" s="12" t="s">
        <v>13</v>
      </c>
      <c r="F17" s="9" t="s">
        <v>14</v>
      </c>
      <c r="G17" s="9" t="s">
        <v>15</v>
      </c>
      <c r="H17" s="10">
        <v>1014.0</v>
      </c>
      <c r="I17" s="9" t="s">
        <v>16</v>
      </c>
      <c r="J17" s="11">
        <v>44792.0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2.5" customHeight="1">
      <c r="A18" s="9" t="s">
        <v>154</v>
      </c>
      <c r="B18" s="9" t="s">
        <v>155</v>
      </c>
      <c r="C18" s="9" t="s">
        <v>156</v>
      </c>
      <c r="D18" s="10">
        <v>8.0</v>
      </c>
      <c r="E18" s="12" t="s">
        <v>20</v>
      </c>
      <c r="F18" s="9" t="s">
        <v>14</v>
      </c>
      <c r="G18" s="9" t="s">
        <v>15</v>
      </c>
      <c r="H18" s="10">
        <v>1014.0</v>
      </c>
      <c r="I18" s="9" t="s">
        <v>16</v>
      </c>
      <c r="J18" s="11">
        <v>44792.0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2.5" customHeight="1">
      <c r="A19" s="9" t="s">
        <v>157</v>
      </c>
      <c r="B19" s="9" t="s">
        <v>158</v>
      </c>
      <c r="C19" s="9" t="s">
        <v>159</v>
      </c>
      <c r="D19" s="10">
        <v>7.0</v>
      </c>
      <c r="E19" s="12" t="s">
        <v>13</v>
      </c>
      <c r="F19" s="9" t="s">
        <v>14</v>
      </c>
      <c r="G19" s="9" t="s">
        <v>15</v>
      </c>
      <c r="H19" s="10">
        <v>1014.0</v>
      </c>
      <c r="I19" s="9" t="s">
        <v>16</v>
      </c>
      <c r="J19" s="11">
        <v>44792.0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2.5" customHeight="1">
      <c r="A20" s="9" t="s">
        <v>160</v>
      </c>
      <c r="B20" s="9" t="s">
        <v>161</v>
      </c>
      <c r="C20" s="9" t="s">
        <v>162</v>
      </c>
      <c r="D20" s="10">
        <v>8.0</v>
      </c>
      <c r="E20" s="12" t="s">
        <v>13</v>
      </c>
      <c r="F20" s="9" t="s">
        <v>14</v>
      </c>
      <c r="G20" s="9" t="s">
        <v>27</v>
      </c>
      <c r="H20" s="10">
        <v>1014.0</v>
      </c>
      <c r="I20" s="9" t="s">
        <v>16</v>
      </c>
      <c r="J20" s="11">
        <v>44792.0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2.5" customHeight="1">
      <c r="A21" s="9" t="s">
        <v>163</v>
      </c>
      <c r="B21" s="9" t="s">
        <v>164</v>
      </c>
      <c r="C21" s="9" t="s">
        <v>165</v>
      </c>
      <c r="D21" s="10">
        <v>8.0</v>
      </c>
      <c r="E21" s="12" t="s">
        <v>13</v>
      </c>
      <c r="F21" s="9" t="s">
        <v>14</v>
      </c>
      <c r="G21" s="9" t="s">
        <v>15</v>
      </c>
      <c r="H21" s="10">
        <v>1014.0</v>
      </c>
      <c r="I21" s="9" t="s">
        <v>16</v>
      </c>
      <c r="J21" s="11">
        <v>44792.0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2.5" customHeight="1">
      <c r="A22" s="9" t="s">
        <v>166</v>
      </c>
      <c r="B22" s="9" t="s">
        <v>167</v>
      </c>
      <c r="C22" s="9" t="s">
        <v>42</v>
      </c>
      <c r="D22" s="10">
        <v>8.0</v>
      </c>
      <c r="E22" s="12" t="s">
        <v>13</v>
      </c>
      <c r="F22" s="9" t="s">
        <v>39</v>
      </c>
      <c r="G22" s="9" t="s">
        <v>15</v>
      </c>
      <c r="H22" s="10">
        <v>1014.0</v>
      </c>
      <c r="I22" s="9" t="s">
        <v>16</v>
      </c>
      <c r="J22" s="11">
        <v>44792.0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2.5" customHeight="1">
      <c r="A23" s="9" t="s">
        <v>168</v>
      </c>
      <c r="B23" s="9" t="s">
        <v>169</v>
      </c>
      <c r="C23" s="9" t="s">
        <v>170</v>
      </c>
      <c r="D23" s="10">
        <v>8.0</v>
      </c>
      <c r="E23" s="12" t="s">
        <v>13</v>
      </c>
      <c r="F23" s="9" t="s">
        <v>14</v>
      </c>
      <c r="G23" s="9" t="s">
        <v>27</v>
      </c>
      <c r="H23" s="10">
        <v>1014.0</v>
      </c>
      <c r="I23" s="9" t="s">
        <v>16</v>
      </c>
      <c r="J23" s="11">
        <v>44792.0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2.5" customHeight="1">
      <c r="A24" s="9" t="s">
        <v>171</v>
      </c>
      <c r="B24" s="9" t="s">
        <v>172</v>
      </c>
      <c r="C24" s="9" t="s">
        <v>173</v>
      </c>
      <c r="D24" s="10">
        <v>8.0</v>
      </c>
      <c r="E24" s="12" t="s">
        <v>20</v>
      </c>
      <c r="F24" s="9" t="s">
        <v>14</v>
      </c>
      <c r="G24" s="9" t="s">
        <v>15</v>
      </c>
      <c r="H24" s="10">
        <v>1014.0</v>
      </c>
      <c r="I24" s="9" t="s">
        <v>16</v>
      </c>
      <c r="J24" s="11">
        <v>44792.0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2.5" customHeight="1">
      <c r="A25" s="9" t="s">
        <v>174</v>
      </c>
      <c r="B25" s="9" t="s">
        <v>175</v>
      </c>
      <c r="C25" s="9" t="s">
        <v>176</v>
      </c>
      <c r="D25" s="10">
        <v>8.0</v>
      </c>
      <c r="E25" s="12" t="s">
        <v>13</v>
      </c>
      <c r="F25" s="9" t="s">
        <v>14</v>
      </c>
      <c r="G25" s="9" t="s">
        <v>15</v>
      </c>
      <c r="H25" s="10">
        <v>1014.0</v>
      </c>
      <c r="I25" s="9" t="s">
        <v>16</v>
      </c>
      <c r="J25" s="11">
        <v>44792.0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2.5" customHeight="1">
      <c r="A26" s="9" t="s">
        <v>177</v>
      </c>
      <c r="B26" s="9" t="s">
        <v>178</v>
      </c>
      <c r="C26" s="9" t="s">
        <v>179</v>
      </c>
      <c r="D26" s="10">
        <v>8.0</v>
      </c>
      <c r="E26" s="12" t="s">
        <v>13</v>
      </c>
      <c r="F26" s="9" t="s">
        <v>14</v>
      </c>
      <c r="G26" s="9" t="s">
        <v>52</v>
      </c>
      <c r="H26" s="10">
        <v>1014.0</v>
      </c>
      <c r="I26" s="9" t="s">
        <v>16</v>
      </c>
      <c r="J26" s="11">
        <v>44792.0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2.5" customHeight="1">
      <c r="A27" s="9" t="s">
        <v>180</v>
      </c>
      <c r="B27" s="9" t="s">
        <v>181</v>
      </c>
      <c r="C27" s="9" t="s">
        <v>182</v>
      </c>
      <c r="D27" s="10">
        <v>8.0</v>
      </c>
      <c r="E27" s="12" t="s">
        <v>13</v>
      </c>
      <c r="F27" s="9" t="s">
        <v>14</v>
      </c>
      <c r="G27" s="9" t="s">
        <v>15</v>
      </c>
      <c r="H27" s="10">
        <v>1014.0</v>
      </c>
      <c r="I27" s="9" t="s">
        <v>16</v>
      </c>
      <c r="J27" s="11">
        <v>44792.0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2.5" customHeight="1">
      <c r="A28" s="9" t="s">
        <v>103</v>
      </c>
      <c r="B28" s="9" t="s">
        <v>104</v>
      </c>
      <c r="C28" s="9" t="s">
        <v>105</v>
      </c>
      <c r="D28" s="10">
        <v>8.0</v>
      </c>
      <c r="E28" s="12" t="s">
        <v>13</v>
      </c>
      <c r="F28" s="9" t="s">
        <v>39</v>
      </c>
      <c r="G28" s="9" t="s">
        <v>15</v>
      </c>
      <c r="H28" s="10">
        <v>1014.0</v>
      </c>
      <c r="I28" s="9" t="s">
        <v>16</v>
      </c>
      <c r="J28" s="11">
        <v>44792.0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2.5" customHeight="1">
      <c r="A29" s="9" t="s">
        <v>109</v>
      </c>
      <c r="B29" s="9" t="s">
        <v>110</v>
      </c>
      <c r="C29" s="9" t="s">
        <v>111</v>
      </c>
      <c r="D29" s="10">
        <v>8.0</v>
      </c>
      <c r="E29" s="12" t="s">
        <v>13</v>
      </c>
      <c r="F29" s="9" t="s">
        <v>14</v>
      </c>
      <c r="G29" s="9" t="s">
        <v>93</v>
      </c>
      <c r="H29" s="10">
        <v>1014.0</v>
      </c>
      <c r="I29" s="9" t="s">
        <v>16</v>
      </c>
      <c r="J29" s="11">
        <v>44792.0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custom" allowBlank="1" showDropDown="1" sqref="J2:J29">
      <formula1>OR(NOT(ISERROR(DATEVALUE(J2))), AND(ISNUMBER(J2), LEFT(CELL("format", J2))="D"))</formula1>
    </dataValidation>
    <dataValidation type="list" allowBlank="1" showDropDown="1" showErrorMessage="1" sqref="E2:E29">
      <formula1>"F,M"</formula1>
    </dataValidation>
    <dataValidation type="custom" allowBlank="1" showDropDown="1" sqref="D2:D29 H2:H29">
      <formula1>AND(ISNUMBER(D2),(NOT(OR(NOT(ISERROR(DATEVALUE(D2))), AND(ISNUMBER(D2), LEFT(CELL("format", D2))="D")))))</formula1>
    </dataValidation>
    <dataValidation allowBlank="1" showDropDown="1" sqref="A2:C29 F2:G29 I2:I29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17.13"/>
    <col customWidth="1" min="3" max="3" width="17.38"/>
    <col customWidth="1" min="4" max="4" width="13.63"/>
    <col customWidth="1" min="6" max="7" width="26.38"/>
    <col customWidth="1" min="8" max="8" width="15.75"/>
    <col customWidth="1" min="9" max="9" width="16.63"/>
    <col customWidth="1" min="10" max="10" width="18.63"/>
  </cols>
  <sheetData>
    <row r="1" ht="22.5" customHeight="1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7" t="s">
        <v>9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9" t="s">
        <v>183</v>
      </c>
      <c r="B2" s="9" t="s">
        <v>184</v>
      </c>
      <c r="C2" s="9" t="s">
        <v>185</v>
      </c>
      <c r="D2" s="10">
        <v>8.0</v>
      </c>
      <c r="E2" s="12" t="s">
        <v>20</v>
      </c>
      <c r="F2" s="9" t="s">
        <v>14</v>
      </c>
      <c r="G2" s="9" t="s">
        <v>15</v>
      </c>
      <c r="H2" s="10">
        <v>1024.0</v>
      </c>
      <c r="I2" s="9" t="s">
        <v>16</v>
      </c>
      <c r="J2" s="11">
        <v>45158.0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9" t="s">
        <v>186</v>
      </c>
      <c r="B3" s="9" t="s">
        <v>187</v>
      </c>
      <c r="C3" s="9" t="s">
        <v>188</v>
      </c>
      <c r="D3" s="10">
        <v>8.0</v>
      </c>
      <c r="E3" s="12" t="s">
        <v>20</v>
      </c>
      <c r="F3" s="9" t="s">
        <v>14</v>
      </c>
      <c r="G3" s="9" t="s">
        <v>15</v>
      </c>
      <c r="H3" s="10">
        <v>1024.0</v>
      </c>
      <c r="I3" s="9" t="s">
        <v>16</v>
      </c>
      <c r="J3" s="11">
        <v>45158.0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9" t="s">
        <v>189</v>
      </c>
      <c r="B4" s="9" t="s">
        <v>25</v>
      </c>
      <c r="C4" s="9" t="s">
        <v>190</v>
      </c>
      <c r="D4" s="10">
        <v>7.0</v>
      </c>
      <c r="E4" s="12" t="s">
        <v>13</v>
      </c>
      <c r="F4" s="9" t="s">
        <v>14</v>
      </c>
      <c r="G4" s="9" t="s">
        <v>27</v>
      </c>
      <c r="H4" s="10">
        <v>1024.0</v>
      </c>
      <c r="I4" s="9" t="s">
        <v>16</v>
      </c>
      <c r="J4" s="11">
        <v>45158.0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2.5" customHeight="1">
      <c r="A5" s="9" t="s">
        <v>125</v>
      </c>
      <c r="B5" s="9" t="s">
        <v>29</v>
      </c>
      <c r="C5" s="9" t="s">
        <v>126</v>
      </c>
      <c r="D5" s="10">
        <v>8.0</v>
      </c>
      <c r="E5" s="12" t="s">
        <v>20</v>
      </c>
      <c r="F5" s="9" t="s">
        <v>14</v>
      </c>
      <c r="G5" s="9" t="s">
        <v>15</v>
      </c>
      <c r="H5" s="10">
        <v>1024.0</v>
      </c>
      <c r="I5" s="9" t="s">
        <v>16</v>
      </c>
      <c r="J5" s="11">
        <v>45158.0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2.5" customHeight="1">
      <c r="A6" s="9" t="s">
        <v>191</v>
      </c>
      <c r="B6" s="9" t="s">
        <v>192</v>
      </c>
      <c r="C6" s="9" t="s">
        <v>193</v>
      </c>
      <c r="D6" s="10">
        <v>8.0</v>
      </c>
      <c r="E6" s="12" t="s">
        <v>13</v>
      </c>
      <c r="F6" s="9" t="s">
        <v>14</v>
      </c>
      <c r="G6" s="9" t="s">
        <v>194</v>
      </c>
      <c r="H6" s="10">
        <v>1024.0</v>
      </c>
      <c r="I6" s="9" t="s">
        <v>16</v>
      </c>
      <c r="J6" s="11">
        <v>45158.0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9" t="s">
        <v>195</v>
      </c>
      <c r="B7" s="9" t="s">
        <v>196</v>
      </c>
      <c r="C7" s="9" t="s">
        <v>197</v>
      </c>
      <c r="D7" s="10">
        <v>8.0</v>
      </c>
      <c r="E7" s="12" t="s">
        <v>20</v>
      </c>
      <c r="F7" s="9" t="s">
        <v>14</v>
      </c>
      <c r="G7" s="9" t="s">
        <v>15</v>
      </c>
      <c r="H7" s="10">
        <v>1024.0</v>
      </c>
      <c r="I7" s="9" t="s">
        <v>16</v>
      </c>
      <c r="J7" s="11">
        <v>45158.0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2.5" customHeight="1">
      <c r="A8" s="9" t="s">
        <v>198</v>
      </c>
      <c r="B8" s="9" t="s">
        <v>199</v>
      </c>
      <c r="C8" s="9" t="s">
        <v>200</v>
      </c>
      <c r="D8" s="10">
        <v>8.0</v>
      </c>
      <c r="E8" s="12" t="s">
        <v>13</v>
      </c>
      <c r="F8" s="9" t="s">
        <v>39</v>
      </c>
      <c r="G8" s="9" t="s">
        <v>15</v>
      </c>
      <c r="H8" s="10">
        <v>1024.0</v>
      </c>
      <c r="I8" s="9" t="s">
        <v>16</v>
      </c>
      <c r="J8" s="11">
        <v>45158.0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2.5" customHeight="1">
      <c r="A9" s="9" t="s">
        <v>133</v>
      </c>
      <c r="B9" s="9" t="s">
        <v>134</v>
      </c>
      <c r="C9" s="9" t="s">
        <v>135</v>
      </c>
      <c r="D9" s="10">
        <v>8.0</v>
      </c>
      <c r="E9" s="12" t="s">
        <v>13</v>
      </c>
      <c r="F9" s="9" t="s">
        <v>14</v>
      </c>
      <c r="G9" s="9" t="s">
        <v>15</v>
      </c>
      <c r="H9" s="10">
        <v>1024.0</v>
      </c>
      <c r="I9" s="9" t="s">
        <v>16</v>
      </c>
      <c r="J9" s="11">
        <v>45158.0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2.5" customHeight="1">
      <c r="A10" s="9" t="s">
        <v>201</v>
      </c>
      <c r="B10" s="9" t="s">
        <v>202</v>
      </c>
      <c r="C10" s="9" t="s">
        <v>203</v>
      </c>
      <c r="D10" s="10">
        <v>8.0</v>
      </c>
      <c r="E10" s="12" t="s">
        <v>13</v>
      </c>
      <c r="F10" s="9" t="s">
        <v>39</v>
      </c>
      <c r="G10" s="9" t="s">
        <v>59</v>
      </c>
      <c r="H10" s="10">
        <v>1024.0</v>
      </c>
      <c r="I10" s="9" t="s">
        <v>16</v>
      </c>
      <c r="J10" s="11">
        <v>45158.0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9" t="s">
        <v>204</v>
      </c>
      <c r="B11" s="9" t="s">
        <v>205</v>
      </c>
      <c r="C11" s="9" t="s">
        <v>206</v>
      </c>
      <c r="D11" s="10">
        <v>8.0</v>
      </c>
      <c r="E11" s="12" t="s">
        <v>13</v>
      </c>
      <c r="F11" s="9" t="s">
        <v>14</v>
      </c>
      <c r="G11" s="9" t="s">
        <v>15</v>
      </c>
      <c r="H11" s="10">
        <v>1024.0</v>
      </c>
      <c r="I11" s="9" t="s">
        <v>16</v>
      </c>
      <c r="J11" s="11">
        <v>45158.0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2.5" customHeight="1">
      <c r="A12" s="9" t="s">
        <v>207</v>
      </c>
      <c r="B12" s="9" t="s">
        <v>145</v>
      </c>
      <c r="C12" s="9" t="s">
        <v>108</v>
      </c>
      <c r="D12" s="10">
        <v>8.0</v>
      </c>
      <c r="E12" s="12" t="s">
        <v>13</v>
      </c>
      <c r="F12" s="9" t="s">
        <v>39</v>
      </c>
      <c r="G12" s="9" t="s">
        <v>15</v>
      </c>
      <c r="H12" s="10">
        <v>1024.0</v>
      </c>
      <c r="I12" s="9" t="s">
        <v>16</v>
      </c>
      <c r="J12" s="11">
        <v>45158.0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2.5" customHeight="1">
      <c r="A13" s="9" t="s">
        <v>208</v>
      </c>
      <c r="B13" s="9" t="s">
        <v>209</v>
      </c>
      <c r="C13" s="9" t="s">
        <v>210</v>
      </c>
      <c r="D13" s="10">
        <v>8.0</v>
      </c>
      <c r="E13" s="12" t="s">
        <v>13</v>
      </c>
      <c r="F13" s="9" t="s">
        <v>14</v>
      </c>
      <c r="G13" s="9" t="s">
        <v>211</v>
      </c>
      <c r="H13" s="10">
        <v>1024.0</v>
      </c>
      <c r="I13" s="9" t="s">
        <v>16</v>
      </c>
      <c r="J13" s="11">
        <v>45158.0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9" t="s">
        <v>212</v>
      </c>
      <c r="B14" s="9" t="s">
        <v>213</v>
      </c>
      <c r="C14" s="9" t="s">
        <v>214</v>
      </c>
      <c r="D14" s="10">
        <v>8.0</v>
      </c>
      <c r="E14" s="12" t="s">
        <v>13</v>
      </c>
      <c r="F14" s="9" t="s">
        <v>14</v>
      </c>
      <c r="G14" s="9" t="s">
        <v>15</v>
      </c>
      <c r="H14" s="10">
        <v>1024.0</v>
      </c>
      <c r="I14" s="9" t="s">
        <v>16</v>
      </c>
      <c r="J14" s="11">
        <v>45158.0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2.5" customHeight="1">
      <c r="A15" s="9" t="s">
        <v>215</v>
      </c>
      <c r="B15" s="9" t="s">
        <v>216</v>
      </c>
      <c r="C15" s="9" t="s">
        <v>217</v>
      </c>
      <c r="D15" s="10">
        <v>8.0</v>
      </c>
      <c r="E15" s="12" t="s">
        <v>20</v>
      </c>
      <c r="F15" s="9" t="s">
        <v>14</v>
      </c>
      <c r="G15" s="9" t="s">
        <v>211</v>
      </c>
      <c r="H15" s="10">
        <v>1024.0</v>
      </c>
      <c r="I15" s="9" t="s">
        <v>16</v>
      </c>
      <c r="J15" s="11">
        <v>45158.0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2.5" customHeight="1">
      <c r="A16" s="9" t="s">
        <v>218</v>
      </c>
      <c r="B16" s="9" t="s">
        <v>219</v>
      </c>
      <c r="C16" s="9" t="s">
        <v>220</v>
      </c>
      <c r="D16" s="10">
        <v>8.0</v>
      </c>
      <c r="E16" s="12" t="s">
        <v>20</v>
      </c>
      <c r="F16" s="9" t="s">
        <v>14</v>
      </c>
      <c r="G16" s="9" t="s">
        <v>15</v>
      </c>
      <c r="H16" s="10">
        <v>1024.0</v>
      </c>
      <c r="I16" s="9" t="s">
        <v>16</v>
      </c>
      <c r="J16" s="11">
        <v>45158.0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2.5" customHeight="1">
      <c r="A17" s="9" t="s">
        <v>151</v>
      </c>
      <c r="B17" s="9" t="s">
        <v>152</v>
      </c>
      <c r="C17" s="9" t="s">
        <v>153</v>
      </c>
      <c r="D17" s="10">
        <v>8.0</v>
      </c>
      <c r="E17" s="12" t="s">
        <v>13</v>
      </c>
      <c r="F17" s="9" t="s">
        <v>14</v>
      </c>
      <c r="G17" s="9" t="s">
        <v>15</v>
      </c>
      <c r="H17" s="10">
        <v>1024.0</v>
      </c>
      <c r="I17" s="9" t="s">
        <v>16</v>
      </c>
      <c r="J17" s="11">
        <v>45158.0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2.5" customHeight="1">
      <c r="A18" s="9" t="s">
        <v>221</v>
      </c>
      <c r="B18" s="9" t="s">
        <v>222</v>
      </c>
      <c r="C18" s="9" t="s">
        <v>223</v>
      </c>
      <c r="D18" s="10">
        <v>8.0</v>
      </c>
      <c r="E18" s="12" t="s">
        <v>13</v>
      </c>
      <c r="F18" s="9" t="s">
        <v>14</v>
      </c>
      <c r="G18" s="9" t="s">
        <v>15</v>
      </c>
      <c r="H18" s="10">
        <v>1024.0</v>
      </c>
      <c r="I18" s="9" t="s">
        <v>16</v>
      </c>
      <c r="J18" s="11">
        <v>45158.0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2.5" customHeight="1">
      <c r="A19" s="9" t="s">
        <v>224</v>
      </c>
      <c r="B19" s="9" t="s">
        <v>225</v>
      </c>
      <c r="C19" s="9" t="s">
        <v>153</v>
      </c>
      <c r="D19" s="10">
        <v>8.0</v>
      </c>
      <c r="E19" s="12" t="s">
        <v>13</v>
      </c>
      <c r="F19" s="9" t="s">
        <v>14</v>
      </c>
      <c r="G19" s="9" t="s">
        <v>15</v>
      </c>
      <c r="H19" s="10">
        <v>1024.0</v>
      </c>
      <c r="I19" s="9" t="s">
        <v>16</v>
      </c>
      <c r="J19" s="11">
        <v>45158.0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2.5" customHeight="1">
      <c r="A20" s="9" t="s">
        <v>226</v>
      </c>
      <c r="B20" s="9" t="s">
        <v>227</v>
      </c>
      <c r="C20" s="9" t="s">
        <v>228</v>
      </c>
      <c r="D20" s="10">
        <v>7.0</v>
      </c>
      <c r="E20" s="12" t="s">
        <v>13</v>
      </c>
      <c r="F20" s="9" t="s">
        <v>14</v>
      </c>
      <c r="G20" s="9" t="s">
        <v>15</v>
      </c>
      <c r="H20" s="10">
        <v>1024.0</v>
      </c>
      <c r="I20" s="9" t="s">
        <v>16</v>
      </c>
      <c r="J20" s="11">
        <v>45158.0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2.5" customHeight="1">
      <c r="A21" s="9" t="s">
        <v>229</v>
      </c>
      <c r="B21" s="9" t="s">
        <v>230</v>
      </c>
      <c r="C21" s="9" t="s">
        <v>231</v>
      </c>
      <c r="D21" s="10">
        <v>8.0</v>
      </c>
      <c r="E21" s="12" t="s">
        <v>20</v>
      </c>
      <c r="F21" s="9" t="s">
        <v>14</v>
      </c>
      <c r="G21" s="9" t="s">
        <v>93</v>
      </c>
      <c r="H21" s="10">
        <v>1024.0</v>
      </c>
      <c r="I21" s="9" t="s">
        <v>16</v>
      </c>
      <c r="J21" s="11">
        <v>45158.0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2.5" customHeight="1">
      <c r="A22" s="9" t="s">
        <v>157</v>
      </c>
      <c r="B22" s="9" t="s">
        <v>158</v>
      </c>
      <c r="C22" s="9" t="s">
        <v>159</v>
      </c>
      <c r="D22" s="10">
        <v>8.0</v>
      </c>
      <c r="E22" s="12" t="s">
        <v>13</v>
      </c>
      <c r="F22" s="9" t="s">
        <v>14</v>
      </c>
      <c r="G22" s="9" t="s">
        <v>15</v>
      </c>
      <c r="H22" s="10">
        <v>1024.0</v>
      </c>
      <c r="I22" s="9" t="s">
        <v>16</v>
      </c>
      <c r="J22" s="11">
        <v>45158.0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2.5" customHeight="1">
      <c r="A23" s="9" t="s">
        <v>232</v>
      </c>
      <c r="B23" s="9" t="s">
        <v>75</v>
      </c>
      <c r="C23" s="9" t="s">
        <v>233</v>
      </c>
      <c r="D23" s="10">
        <v>8.0</v>
      </c>
      <c r="E23" s="12" t="s">
        <v>20</v>
      </c>
      <c r="F23" s="9" t="s">
        <v>14</v>
      </c>
      <c r="G23" s="9" t="s">
        <v>77</v>
      </c>
      <c r="H23" s="10">
        <v>1024.0</v>
      </c>
      <c r="I23" s="9" t="s">
        <v>16</v>
      </c>
      <c r="J23" s="11">
        <v>45158.0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2.5" customHeight="1">
      <c r="A24" s="9" t="s">
        <v>234</v>
      </c>
      <c r="B24" s="9" t="s">
        <v>235</v>
      </c>
      <c r="C24" s="9" t="s">
        <v>236</v>
      </c>
      <c r="D24" s="10">
        <v>8.0</v>
      </c>
      <c r="E24" s="12" t="s">
        <v>13</v>
      </c>
      <c r="F24" s="9" t="s">
        <v>14</v>
      </c>
      <c r="G24" s="9" t="s">
        <v>15</v>
      </c>
      <c r="H24" s="10">
        <v>1024.0</v>
      </c>
      <c r="I24" s="9" t="s">
        <v>16</v>
      </c>
      <c r="J24" s="11">
        <v>45158.0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2.5" customHeight="1">
      <c r="A25" s="9" t="s">
        <v>237</v>
      </c>
      <c r="B25" s="9" t="s">
        <v>238</v>
      </c>
      <c r="C25" s="9" t="s">
        <v>239</v>
      </c>
      <c r="D25" s="10">
        <v>8.0</v>
      </c>
      <c r="E25" s="12" t="s">
        <v>13</v>
      </c>
      <c r="F25" s="9" t="s">
        <v>14</v>
      </c>
      <c r="G25" s="9" t="s">
        <v>15</v>
      </c>
      <c r="H25" s="10">
        <v>1024.0</v>
      </c>
      <c r="I25" s="9" t="s">
        <v>16</v>
      </c>
      <c r="J25" s="11">
        <v>45158.0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2.5" customHeight="1">
      <c r="A26" s="9" t="s">
        <v>240</v>
      </c>
      <c r="B26" s="9" t="s">
        <v>241</v>
      </c>
      <c r="C26" s="9" t="s">
        <v>242</v>
      </c>
      <c r="D26" s="10">
        <v>8.0</v>
      </c>
      <c r="E26" s="12" t="s">
        <v>13</v>
      </c>
      <c r="F26" s="9" t="s">
        <v>14</v>
      </c>
      <c r="G26" s="9" t="s">
        <v>15</v>
      </c>
      <c r="H26" s="10">
        <v>1024.0</v>
      </c>
      <c r="I26" s="9" t="s">
        <v>16</v>
      </c>
      <c r="J26" s="11">
        <v>45158.0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2.5" customHeight="1">
      <c r="A27" s="9" t="s">
        <v>243</v>
      </c>
      <c r="B27" s="9" t="s">
        <v>244</v>
      </c>
      <c r="C27" s="9" t="s">
        <v>245</v>
      </c>
      <c r="D27" s="10">
        <v>8.0</v>
      </c>
      <c r="E27" s="12" t="s">
        <v>20</v>
      </c>
      <c r="F27" s="9" t="s">
        <v>14</v>
      </c>
      <c r="G27" s="9" t="s">
        <v>150</v>
      </c>
      <c r="H27" s="10">
        <v>1024.0</v>
      </c>
      <c r="I27" s="9" t="s">
        <v>16</v>
      </c>
      <c r="J27" s="11">
        <v>45158.0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2.5" customHeight="1">
      <c r="A28" s="9" t="s">
        <v>246</v>
      </c>
      <c r="B28" s="9" t="s">
        <v>91</v>
      </c>
      <c r="C28" s="9" t="s">
        <v>247</v>
      </c>
      <c r="D28" s="10">
        <v>8.0</v>
      </c>
      <c r="E28" s="12" t="s">
        <v>13</v>
      </c>
      <c r="F28" s="9" t="s">
        <v>14</v>
      </c>
      <c r="G28" s="9" t="s">
        <v>15</v>
      </c>
      <c r="H28" s="10">
        <v>1024.0</v>
      </c>
      <c r="I28" s="9" t="s">
        <v>16</v>
      </c>
      <c r="J28" s="11">
        <v>45158.0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2.5" customHeight="1">
      <c r="A29" s="9" t="s">
        <v>248</v>
      </c>
      <c r="B29" s="9" t="s">
        <v>95</v>
      </c>
      <c r="C29" s="9" t="s">
        <v>249</v>
      </c>
      <c r="D29" s="10">
        <v>7.0</v>
      </c>
      <c r="E29" s="12" t="s">
        <v>20</v>
      </c>
      <c r="F29" s="9" t="s">
        <v>14</v>
      </c>
      <c r="G29" s="9" t="s">
        <v>15</v>
      </c>
      <c r="H29" s="10">
        <v>1024.0</v>
      </c>
      <c r="I29" s="9" t="s">
        <v>16</v>
      </c>
      <c r="J29" s="11">
        <v>45158.0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2.5" customHeight="1">
      <c r="A30" s="9" t="s">
        <v>250</v>
      </c>
      <c r="B30" s="9" t="s">
        <v>95</v>
      </c>
      <c r="C30" s="9" t="s">
        <v>251</v>
      </c>
      <c r="D30" s="10">
        <v>7.0</v>
      </c>
      <c r="E30" s="12" t="s">
        <v>20</v>
      </c>
      <c r="F30" s="9" t="s">
        <v>14</v>
      </c>
      <c r="G30" s="9" t="s">
        <v>15</v>
      </c>
      <c r="H30" s="10">
        <v>1024.0</v>
      </c>
      <c r="I30" s="9" t="s">
        <v>16</v>
      </c>
      <c r="J30" s="11">
        <v>45158.0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2.5" customHeight="1">
      <c r="A31" s="9" t="s">
        <v>252</v>
      </c>
      <c r="B31" s="9" t="s">
        <v>253</v>
      </c>
      <c r="C31" s="9" t="s">
        <v>254</v>
      </c>
      <c r="D31" s="10">
        <v>7.0</v>
      </c>
      <c r="E31" s="12" t="s">
        <v>13</v>
      </c>
      <c r="F31" s="9" t="s">
        <v>14</v>
      </c>
      <c r="G31" s="9" t="s">
        <v>15</v>
      </c>
      <c r="H31" s="10">
        <v>1024.0</v>
      </c>
      <c r="I31" s="9" t="s">
        <v>16</v>
      </c>
      <c r="J31" s="11">
        <v>45158.0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2.5" customHeight="1">
      <c r="A32" s="9" t="s">
        <v>255</v>
      </c>
      <c r="B32" s="9" t="s">
        <v>104</v>
      </c>
      <c r="C32" s="9" t="s">
        <v>256</v>
      </c>
      <c r="D32" s="10">
        <v>7.0</v>
      </c>
      <c r="E32" s="12" t="s">
        <v>13</v>
      </c>
      <c r="F32" s="9" t="s">
        <v>39</v>
      </c>
      <c r="G32" s="9" t="s">
        <v>15</v>
      </c>
      <c r="H32" s="10">
        <v>1024.0</v>
      </c>
      <c r="I32" s="9" t="s">
        <v>16</v>
      </c>
      <c r="J32" s="11">
        <v>45158.0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2.5" customHeight="1">
      <c r="A33" s="9" t="s">
        <v>257</v>
      </c>
      <c r="B33" s="9" t="s">
        <v>258</v>
      </c>
      <c r="C33" s="9" t="s">
        <v>259</v>
      </c>
      <c r="D33" s="10">
        <v>7.0</v>
      </c>
      <c r="E33" s="12" t="s">
        <v>13</v>
      </c>
      <c r="F33" s="9" t="s">
        <v>14</v>
      </c>
      <c r="G33" s="9" t="s">
        <v>15</v>
      </c>
      <c r="H33" s="10">
        <v>1024.0</v>
      </c>
      <c r="I33" s="9" t="s">
        <v>16</v>
      </c>
      <c r="J33" s="11">
        <v>45158.0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2.5" customHeight="1">
      <c r="A34" s="9" t="s">
        <v>260</v>
      </c>
      <c r="B34" s="9" t="s">
        <v>261</v>
      </c>
      <c r="C34" s="9" t="s">
        <v>262</v>
      </c>
      <c r="D34" s="10">
        <v>8.0</v>
      </c>
      <c r="E34" s="12" t="s">
        <v>20</v>
      </c>
      <c r="F34" s="9" t="s">
        <v>14</v>
      </c>
      <c r="G34" s="9" t="s">
        <v>15</v>
      </c>
      <c r="H34" s="10">
        <v>1024.0</v>
      </c>
      <c r="I34" s="9" t="s">
        <v>16</v>
      </c>
      <c r="J34" s="11">
        <v>45158.0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list" allowBlank="1" showDropDown="1" showErrorMessage="1" sqref="E2:E34">
      <formula1>"M,F"</formula1>
    </dataValidation>
    <dataValidation type="custom" allowBlank="1" showDropDown="1" sqref="J2:J34">
      <formula1>OR(NOT(ISERROR(DATEVALUE(J2))), AND(ISNUMBER(J2), LEFT(CELL("format", J2))="D"))</formula1>
    </dataValidation>
    <dataValidation type="custom" allowBlank="1" showDropDown="1" sqref="D2:D34 H2:H34">
      <formula1>AND(ISNUMBER(D2),(NOT(OR(NOT(ISERROR(DATEVALUE(D2))), AND(ISNUMBER(D2), LEFT(CELL("format", D2))="D")))))</formula1>
    </dataValidation>
    <dataValidation allowBlank="1" showDropDown="1" sqref="A2:C34 F2:G34 I2:I34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17.13"/>
    <col customWidth="1" min="3" max="3" width="17.38"/>
    <col customWidth="1" min="4" max="4" width="13.63"/>
    <col customWidth="1" min="6" max="7" width="26.38"/>
    <col customWidth="1" min="8" max="8" width="15.75"/>
    <col customWidth="1" min="9" max="9" width="16.63"/>
    <col customWidth="1" min="10" max="10" width="18.63"/>
  </cols>
  <sheetData>
    <row r="1" ht="22.5" customHeight="1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7" t="s">
        <v>9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9" t="s">
        <v>263</v>
      </c>
      <c r="B2" s="9" t="s">
        <v>264</v>
      </c>
      <c r="C2" s="9" t="s">
        <v>265</v>
      </c>
      <c r="D2" s="10">
        <v>8.0</v>
      </c>
      <c r="E2" s="12" t="s">
        <v>20</v>
      </c>
      <c r="F2" s="9" t="s">
        <v>14</v>
      </c>
      <c r="G2" s="12" t="s">
        <v>15</v>
      </c>
      <c r="H2" s="10">
        <v>1042.0</v>
      </c>
      <c r="I2" s="9" t="s">
        <v>16</v>
      </c>
      <c r="J2" s="11">
        <v>45524.0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9" t="s">
        <v>266</v>
      </c>
      <c r="B3" s="9" t="s">
        <v>267</v>
      </c>
      <c r="C3" s="9" t="s">
        <v>268</v>
      </c>
      <c r="D3" s="10">
        <v>7.0</v>
      </c>
      <c r="E3" s="12" t="s">
        <v>13</v>
      </c>
      <c r="F3" s="9" t="s">
        <v>14</v>
      </c>
      <c r="G3" s="12" t="s">
        <v>15</v>
      </c>
      <c r="H3" s="10">
        <v>1041.0</v>
      </c>
      <c r="I3" s="9" t="s">
        <v>16</v>
      </c>
      <c r="J3" s="11">
        <v>45524.0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9" t="s">
        <v>269</v>
      </c>
      <c r="B4" s="9" t="s">
        <v>270</v>
      </c>
      <c r="C4" s="9" t="s">
        <v>271</v>
      </c>
      <c r="D4" s="10">
        <v>8.0</v>
      </c>
      <c r="E4" s="12" t="s">
        <v>13</v>
      </c>
      <c r="F4" s="9" t="s">
        <v>14</v>
      </c>
      <c r="G4" s="12" t="s">
        <v>15</v>
      </c>
      <c r="H4" s="10">
        <v>1042.0</v>
      </c>
      <c r="I4" s="9" t="s">
        <v>16</v>
      </c>
      <c r="J4" s="11">
        <v>45524.0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2.5" customHeight="1">
      <c r="A5" s="9" t="s">
        <v>272</v>
      </c>
      <c r="B5" s="9" t="s">
        <v>273</v>
      </c>
      <c r="C5" s="9" t="s">
        <v>274</v>
      </c>
      <c r="D5" s="10">
        <v>7.0</v>
      </c>
      <c r="E5" s="12" t="s">
        <v>13</v>
      </c>
      <c r="F5" s="9" t="s">
        <v>14</v>
      </c>
      <c r="G5" s="12" t="s">
        <v>15</v>
      </c>
      <c r="H5" s="10">
        <v>1041.0</v>
      </c>
      <c r="I5" s="9" t="s">
        <v>16</v>
      </c>
      <c r="J5" s="11">
        <v>45524.0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2.5" customHeight="1">
      <c r="A6" s="9" t="s">
        <v>275</v>
      </c>
      <c r="B6" s="9" t="s">
        <v>276</v>
      </c>
      <c r="C6" s="9" t="s">
        <v>156</v>
      </c>
      <c r="D6" s="10">
        <v>8.0</v>
      </c>
      <c r="E6" s="12" t="s">
        <v>20</v>
      </c>
      <c r="F6" s="9" t="s">
        <v>14</v>
      </c>
      <c r="G6" s="12" t="s">
        <v>15</v>
      </c>
      <c r="H6" s="10">
        <v>1041.0</v>
      </c>
      <c r="I6" s="9" t="s">
        <v>16</v>
      </c>
      <c r="J6" s="11">
        <v>45524.0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9" t="s">
        <v>277</v>
      </c>
      <c r="B7" s="9" t="s">
        <v>278</v>
      </c>
      <c r="C7" s="9" t="s">
        <v>279</v>
      </c>
      <c r="D7" s="10">
        <v>8.0</v>
      </c>
      <c r="E7" s="12" t="s">
        <v>13</v>
      </c>
      <c r="F7" s="9" t="s">
        <v>39</v>
      </c>
      <c r="G7" s="12" t="s">
        <v>15</v>
      </c>
      <c r="H7" s="10">
        <v>1041.0</v>
      </c>
      <c r="I7" s="9" t="s">
        <v>16</v>
      </c>
      <c r="J7" s="11">
        <v>45524.0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2.5" customHeight="1">
      <c r="A8" s="9" t="s">
        <v>189</v>
      </c>
      <c r="B8" s="9" t="s">
        <v>25</v>
      </c>
      <c r="C8" s="9" t="s">
        <v>190</v>
      </c>
      <c r="D8" s="10">
        <v>8.0</v>
      </c>
      <c r="E8" s="12" t="s">
        <v>13</v>
      </c>
      <c r="F8" s="9" t="s">
        <v>14</v>
      </c>
      <c r="G8" s="12" t="s">
        <v>27</v>
      </c>
      <c r="H8" s="10">
        <v>1041.0</v>
      </c>
      <c r="I8" s="9" t="s">
        <v>16</v>
      </c>
      <c r="J8" s="11">
        <v>45524.0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2.5" customHeight="1">
      <c r="A9" s="9" t="s">
        <v>280</v>
      </c>
      <c r="B9" s="9" t="s">
        <v>281</v>
      </c>
      <c r="C9" s="9" t="s">
        <v>282</v>
      </c>
      <c r="D9" s="10">
        <v>8.0</v>
      </c>
      <c r="E9" s="12" t="s">
        <v>20</v>
      </c>
      <c r="F9" s="9" t="s">
        <v>39</v>
      </c>
      <c r="G9" s="12" t="s">
        <v>194</v>
      </c>
      <c r="H9" s="10">
        <v>1042.0</v>
      </c>
      <c r="I9" s="9" t="s">
        <v>16</v>
      </c>
      <c r="J9" s="11">
        <v>45524.0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2.5" customHeight="1">
      <c r="A10" s="9" t="s">
        <v>283</v>
      </c>
      <c r="B10" s="9" t="s">
        <v>284</v>
      </c>
      <c r="C10" s="9" t="s">
        <v>96</v>
      </c>
      <c r="D10" s="10">
        <v>8.0</v>
      </c>
      <c r="E10" s="12" t="s">
        <v>20</v>
      </c>
      <c r="F10" s="9" t="s">
        <v>14</v>
      </c>
      <c r="G10" s="12" t="s">
        <v>15</v>
      </c>
      <c r="H10" s="10">
        <v>1041.0</v>
      </c>
      <c r="I10" s="9" t="s">
        <v>16</v>
      </c>
      <c r="J10" s="11">
        <v>45524.0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9" t="s">
        <v>285</v>
      </c>
      <c r="B11" s="9" t="s">
        <v>286</v>
      </c>
      <c r="C11" s="9" t="s">
        <v>287</v>
      </c>
      <c r="D11" s="10">
        <v>7.0</v>
      </c>
      <c r="E11" s="12" t="s">
        <v>13</v>
      </c>
      <c r="F11" s="9" t="s">
        <v>14</v>
      </c>
      <c r="G11" s="12" t="s">
        <v>288</v>
      </c>
      <c r="H11" s="10">
        <v>1042.0</v>
      </c>
      <c r="I11" s="9" t="s">
        <v>16</v>
      </c>
      <c r="J11" s="11">
        <v>45524.0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2.5" customHeight="1">
      <c r="A12" s="9" t="s">
        <v>289</v>
      </c>
      <c r="B12" s="9" t="s">
        <v>290</v>
      </c>
      <c r="C12" s="9" t="s">
        <v>291</v>
      </c>
      <c r="D12" s="10">
        <v>8.0</v>
      </c>
      <c r="E12" s="12" t="s">
        <v>20</v>
      </c>
      <c r="F12" s="9" t="s">
        <v>14</v>
      </c>
      <c r="G12" s="12" t="s">
        <v>15</v>
      </c>
      <c r="H12" s="10">
        <v>1041.0</v>
      </c>
      <c r="I12" s="9" t="s">
        <v>16</v>
      </c>
      <c r="J12" s="11">
        <v>45524.0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2.5" customHeight="1">
      <c r="A13" s="9" t="s">
        <v>292</v>
      </c>
      <c r="B13" s="9" t="s">
        <v>293</v>
      </c>
      <c r="C13" s="9" t="s">
        <v>294</v>
      </c>
      <c r="D13" s="10">
        <v>8.0</v>
      </c>
      <c r="E13" s="12" t="s">
        <v>13</v>
      </c>
      <c r="F13" s="9" t="s">
        <v>39</v>
      </c>
      <c r="G13" s="12" t="s">
        <v>15</v>
      </c>
      <c r="H13" s="10">
        <v>1042.0</v>
      </c>
      <c r="I13" s="9" t="s">
        <v>16</v>
      </c>
      <c r="J13" s="11">
        <v>45524.0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9" t="s">
        <v>295</v>
      </c>
      <c r="B14" s="9" t="s">
        <v>296</v>
      </c>
      <c r="C14" s="9" t="s">
        <v>297</v>
      </c>
      <c r="D14" s="10">
        <v>8.0</v>
      </c>
      <c r="E14" s="12" t="s">
        <v>13</v>
      </c>
      <c r="F14" s="9" t="s">
        <v>14</v>
      </c>
      <c r="G14" s="12" t="s">
        <v>15</v>
      </c>
      <c r="H14" s="10">
        <v>1041.0</v>
      </c>
      <c r="I14" s="9" t="s">
        <v>16</v>
      </c>
      <c r="J14" s="11">
        <v>45524.0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2.5" customHeight="1">
      <c r="A15" s="9" t="s">
        <v>298</v>
      </c>
      <c r="B15" s="9" t="s">
        <v>299</v>
      </c>
      <c r="C15" s="9" t="s">
        <v>300</v>
      </c>
      <c r="D15" s="10">
        <v>8.0</v>
      </c>
      <c r="E15" s="12" t="s">
        <v>13</v>
      </c>
      <c r="F15" s="9" t="s">
        <v>39</v>
      </c>
      <c r="G15" s="12" t="s">
        <v>301</v>
      </c>
      <c r="H15" s="10">
        <v>1041.0</v>
      </c>
      <c r="I15" s="9" t="s">
        <v>16</v>
      </c>
      <c r="J15" s="11">
        <v>45524.0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2.5" customHeight="1">
      <c r="A16" s="9" t="s">
        <v>302</v>
      </c>
      <c r="B16" s="9" t="s">
        <v>303</v>
      </c>
      <c r="C16" s="9" t="s">
        <v>304</v>
      </c>
      <c r="D16" s="10">
        <v>7.0</v>
      </c>
      <c r="E16" s="12" t="s">
        <v>20</v>
      </c>
      <c r="F16" s="9" t="s">
        <v>14</v>
      </c>
      <c r="G16" s="12" t="s">
        <v>15</v>
      </c>
      <c r="H16" s="10">
        <v>1042.0</v>
      </c>
      <c r="I16" s="9" t="s">
        <v>16</v>
      </c>
      <c r="J16" s="11">
        <v>45524.0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2.5" customHeight="1">
      <c r="A17" s="9" t="s">
        <v>305</v>
      </c>
      <c r="B17" s="9" t="s">
        <v>306</v>
      </c>
      <c r="C17" s="9" t="s">
        <v>307</v>
      </c>
      <c r="D17" s="10">
        <v>8.0</v>
      </c>
      <c r="E17" s="12" t="s">
        <v>20</v>
      </c>
      <c r="F17" s="9" t="s">
        <v>14</v>
      </c>
      <c r="G17" s="12" t="s">
        <v>15</v>
      </c>
      <c r="H17" s="10">
        <v>1041.0</v>
      </c>
      <c r="I17" s="9" t="s">
        <v>16</v>
      </c>
      <c r="J17" s="11">
        <v>45524.0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2.5" customHeight="1">
      <c r="A18" s="9" t="s">
        <v>308</v>
      </c>
      <c r="B18" s="9" t="s">
        <v>309</v>
      </c>
      <c r="C18" s="9" t="s">
        <v>310</v>
      </c>
      <c r="D18" s="10">
        <v>8.0</v>
      </c>
      <c r="E18" s="12" t="s">
        <v>13</v>
      </c>
      <c r="F18" s="9" t="s">
        <v>14</v>
      </c>
      <c r="G18" s="12" t="s">
        <v>15</v>
      </c>
      <c r="H18" s="10">
        <v>1041.0</v>
      </c>
      <c r="I18" s="9" t="s">
        <v>16</v>
      </c>
      <c r="J18" s="11">
        <v>45524.0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2.5" customHeight="1">
      <c r="A19" s="9" t="s">
        <v>311</v>
      </c>
      <c r="B19" s="9" t="s">
        <v>312</v>
      </c>
      <c r="C19" s="9" t="s">
        <v>313</v>
      </c>
      <c r="D19" s="10">
        <v>7.0</v>
      </c>
      <c r="E19" s="12" t="s">
        <v>13</v>
      </c>
      <c r="F19" s="9" t="s">
        <v>14</v>
      </c>
      <c r="G19" s="12" t="s">
        <v>15</v>
      </c>
      <c r="H19" s="10">
        <v>1041.0</v>
      </c>
      <c r="I19" s="9" t="s">
        <v>16</v>
      </c>
      <c r="J19" s="11">
        <v>45524.0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2.5" customHeight="1">
      <c r="A20" s="9" t="s">
        <v>314</v>
      </c>
      <c r="B20" s="9" t="s">
        <v>315</v>
      </c>
      <c r="C20" s="9" t="s">
        <v>108</v>
      </c>
      <c r="D20" s="10">
        <v>8.0</v>
      </c>
      <c r="E20" s="12" t="s">
        <v>13</v>
      </c>
      <c r="F20" s="9" t="s">
        <v>14</v>
      </c>
      <c r="G20" s="12" t="s">
        <v>15</v>
      </c>
      <c r="H20" s="10">
        <v>1042.0</v>
      </c>
      <c r="I20" s="9" t="s">
        <v>16</v>
      </c>
      <c r="J20" s="11">
        <v>45524.0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2.5" customHeight="1">
      <c r="A21" s="9" t="s">
        <v>316</v>
      </c>
      <c r="B21" s="9" t="s">
        <v>317</v>
      </c>
      <c r="C21" s="9" t="s">
        <v>318</v>
      </c>
      <c r="D21" s="10">
        <v>8.0</v>
      </c>
      <c r="E21" s="12" t="s">
        <v>13</v>
      </c>
      <c r="F21" s="9" t="s">
        <v>39</v>
      </c>
      <c r="G21" s="12" t="s">
        <v>15</v>
      </c>
      <c r="H21" s="10">
        <v>1041.0</v>
      </c>
      <c r="I21" s="9" t="s">
        <v>16</v>
      </c>
      <c r="J21" s="11">
        <v>45524.0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2.5" customHeight="1">
      <c r="A22" s="9" t="s">
        <v>319</v>
      </c>
      <c r="B22" s="9" t="s">
        <v>320</v>
      </c>
      <c r="C22" s="9" t="s">
        <v>321</v>
      </c>
      <c r="D22" s="10">
        <v>7.0</v>
      </c>
      <c r="E22" s="12" t="s">
        <v>13</v>
      </c>
      <c r="F22" s="9" t="s">
        <v>14</v>
      </c>
      <c r="G22" s="12" t="s">
        <v>15</v>
      </c>
      <c r="H22" s="10">
        <v>1042.0</v>
      </c>
      <c r="I22" s="9" t="s">
        <v>16</v>
      </c>
      <c r="J22" s="11">
        <v>45524.0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2.5" customHeight="1">
      <c r="A23" s="9" t="s">
        <v>322</v>
      </c>
      <c r="B23" s="9" t="s">
        <v>323</v>
      </c>
      <c r="C23" s="9" t="s">
        <v>242</v>
      </c>
      <c r="D23" s="10">
        <v>7.0</v>
      </c>
      <c r="E23" s="12" t="s">
        <v>13</v>
      </c>
      <c r="F23" s="9" t="s">
        <v>14</v>
      </c>
      <c r="G23" s="12" t="s">
        <v>15</v>
      </c>
      <c r="H23" s="10">
        <v>1042.0</v>
      </c>
      <c r="I23" s="9" t="s">
        <v>16</v>
      </c>
      <c r="J23" s="11">
        <v>45524.0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2.5" customHeight="1">
      <c r="A24" s="9" t="s">
        <v>324</v>
      </c>
      <c r="B24" s="9" t="s">
        <v>325</v>
      </c>
      <c r="C24" s="9" t="s">
        <v>326</v>
      </c>
      <c r="D24" s="10">
        <v>8.0</v>
      </c>
      <c r="E24" s="12" t="s">
        <v>13</v>
      </c>
      <c r="F24" s="9" t="s">
        <v>39</v>
      </c>
      <c r="G24" s="12" t="s">
        <v>301</v>
      </c>
      <c r="H24" s="10">
        <v>1041.0</v>
      </c>
      <c r="I24" s="9" t="s">
        <v>16</v>
      </c>
      <c r="J24" s="11">
        <v>45524.0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2.5" customHeight="1">
      <c r="A25" s="9" t="s">
        <v>327</v>
      </c>
      <c r="B25" s="9" t="s">
        <v>328</v>
      </c>
      <c r="C25" s="9" t="s">
        <v>162</v>
      </c>
      <c r="D25" s="10">
        <v>8.0</v>
      </c>
      <c r="E25" s="12" t="s">
        <v>13</v>
      </c>
      <c r="F25" s="9" t="s">
        <v>14</v>
      </c>
      <c r="G25" s="12" t="s">
        <v>15</v>
      </c>
      <c r="H25" s="10">
        <v>1041.0</v>
      </c>
      <c r="I25" s="9" t="s">
        <v>16</v>
      </c>
      <c r="J25" s="11">
        <v>45524.0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2.5" customHeight="1">
      <c r="A26" s="9" t="s">
        <v>329</v>
      </c>
      <c r="B26" s="9" t="s">
        <v>330</v>
      </c>
      <c r="C26" s="9" t="s">
        <v>331</v>
      </c>
      <c r="D26" s="10">
        <v>8.0</v>
      </c>
      <c r="E26" s="12" t="s">
        <v>13</v>
      </c>
      <c r="F26" s="9" t="s">
        <v>14</v>
      </c>
      <c r="G26" s="12" t="s">
        <v>15</v>
      </c>
      <c r="H26" s="10">
        <v>1041.0</v>
      </c>
      <c r="I26" s="9" t="s">
        <v>16</v>
      </c>
      <c r="J26" s="11">
        <v>45524.0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2.5" customHeight="1">
      <c r="A27" s="9" t="s">
        <v>332</v>
      </c>
      <c r="B27" s="9" t="s">
        <v>333</v>
      </c>
      <c r="C27" s="9" t="s">
        <v>334</v>
      </c>
      <c r="D27" s="10">
        <v>8.0</v>
      </c>
      <c r="E27" s="12" t="s">
        <v>13</v>
      </c>
      <c r="F27" s="9" t="s">
        <v>14</v>
      </c>
      <c r="G27" s="12" t="s">
        <v>15</v>
      </c>
      <c r="H27" s="10">
        <v>1041.0</v>
      </c>
      <c r="I27" s="9" t="s">
        <v>16</v>
      </c>
      <c r="J27" s="11">
        <v>45524.0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2.5" customHeight="1">
      <c r="A28" s="9" t="s">
        <v>335</v>
      </c>
      <c r="B28" s="9" t="s">
        <v>219</v>
      </c>
      <c r="C28" s="9" t="s">
        <v>336</v>
      </c>
      <c r="D28" s="10">
        <v>8.0</v>
      </c>
      <c r="E28" s="12" t="s">
        <v>13</v>
      </c>
      <c r="F28" s="9" t="s">
        <v>14</v>
      </c>
      <c r="G28" s="12" t="s">
        <v>15</v>
      </c>
      <c r="H28" s="10">
        <v>1042.0</v>
      </c>
      <c r="I28" s="9" t="s">
        <v>16</v>
      </c>
      <c r="J28" s="11">
        <v>45524.0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2.5" customHeight="1">
      <c r="A29" s="9" t="s">
        <v>337</v>
      </c>
      <c r="B29" s="9" t="s">
        <v>338</v>
      </c>
      <c r="C29" s="9" t="s">
        <v>339</v>
      </c>
      <c r="D29" s="10">
        <v>8.0</v>
      </c>
      <c r="E29" s="12" t="s">
        <v>13</v>
      </c>
      <c r="F29" s="9" t="s">
        <v>14</v>
      </c>
      <c r="G29" s="12" t="s">
        <v>15</v>
      </c>
      <c r="H29" s="10">
        <v>1042.0</v>
      </c>
      <c r="I29" s="9" t="s">
        <v>16</v>
      </c>
      <c r="J29" s="11">
        <v>45524.0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2.5" customHeight="1">
      <c r="A30" s="9" t="s">
        <v>340</v>
      </c>
      <c r="B30" s="9" t="s">
        <v>341</v>
      </c>
      <c r="C30" s="9" t="s">
        <v>342</v>
      </c>
      <c r="D30" s="10">
        <v>8.0</v>
      </c>
      <c r="E30" s="12" t="s">
        <v>13</v>
      </c>
      <c r="F30" s="9" t="s">
        <v>14</v>
      </c>
      <c r="G30" s="12" t="s">
        <v>15</v>
      </c>
      <c r="H30" s="10">
        <v>1042.0</v>
      </c>
      <c r="I30" s="9" t="s">
        <v>16</v>
      </c>
      <c r="J30" s="11">
        <v>45524.0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2.5" customHeight="1">
      <c r="A31" s="9" t="s">
        <v>343</v>
      </c>
      <c r="B31" s="9" t="s">
        <v>344</v>
      </c>
      <c r="C31" s="9" t="s">
        <v>345</v>
      </c>
      <c r="D31" s="10">
        <v>7.0</v>
      </c>
      <c r="E31" s="12" t="s">
        <v>13</v>
      </c>
      <c r="F31" s="9" t="s">
        <v>39</v>
      </c>
      <c r="G31" s="12" t="s">
        <v>15</v>
      </c>
      <c r="H31" s="10">
        <v>1041.0</v>
      </c>
      <c r="I31" s="9" t="s">
        <v>16</v>
      </c>
      <c r="J31" s="11">
        <v>45524.0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2.5" customHeight="1">
      <c r="A32" s="9" t="s">
        <v>346</v>
      </c>
      <c r="B32" s="9" t="s">
        <v>347</v>
      </c>
      <c r="C32" s="9" t="s">
        <v>282</v>
      </c>
      <c r="D32" s="10">
        <v>8.0</v>
      </c>
      <c r="E32" s="12" t="s">
        <v>20</v>
      </c>
      <c r="F32" s="9" t="s">
        <v>39</v>
      </c>
      <c r="G32" s="12" t="s">
        <v>15</v>
      </c>
      <c r="H32" s="10">
        <v>1042.0</v>
      </c>
      <c r="I32" s="9" t="s">
        <v>16</v>
      </c>
      <c r="J32" s="11">
        <v>45524.0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2.5" customHeight="1">
      <c r="A33" s="9" t="s">
        <v>348</v>
      </c>
      <c r="B33" s="9" t="s">
        <v>66</v>
      </c>
      <c r="C33" s="9" t="s">
        <v>349</v>
      </c>
      <c r="D33" s="10">
        <v>8.0</v>
      </c>
      <c r="E33" s="12" t="s">
        <v>13</v>
      </c>
      <c r="F33" s="9" t="s">
        <v>14</v>
      </c>
      <c r="G33" s="12" t="s">
        <v>15</v>
      </c>
      <c r="H33" s="10">
        <v>1042.0</v>
      </c>
      <c r="I33" s="9" t="s">
        <v>16</v>
      </c>
      <c r="J33" s="11">
        <v>45524.0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2.5" customHeight="1">
      <c r="A34" s="9" t="s">
        <v>350</v>
      </c>
      <c r="B34" s="9" t="s">
        <v>155</v>
      </c>
      <c r="C34" s="9" t="s">
        <v>279</v>
      </c>
      <c r="D34" s="10">
        <v>8.0</v>
      </c>
      <c r="E34" s="12" t="s">
        <v>13</v>
      </c>
      <c r="F34" s="9" t="s">
        <v>14</v>
      </c>
      <c r="G34" s="12" t="s">
        <v>15</v>
      </c>
      <c r="H34" s="10">
        <v>1042.0</v>
      </c>
      <c r="I34" s="9" t="s">
        <v>16</v>
      </c>
      <c r="J34" s="11">
        <v>45524.0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2.5" customHeight="1">
      <c r="A35" s="9" t="s">
        <v>351</v>
      </c>
      <c r="B35" s="9" t="s">
        <v>352</v>
      </c>
      <c r="C35" s="9" t="s">
        <v>353</v>
      </c>
      <c r="D35" s="10">
        <v>8.0</v>
      </c>
      <c r="E35" s="12" t="s">
        <v>13</v>
      </c>
      <c r="F35" s="9" t="s">
        <v>14</v>
      </c>
      <c r="G35" s="12" t="s">
        <v>15</v>
      </c>
      <c r="H35" s="10">
        <v>1041.0</v>
      </c>
      <c r="I35" s="9" t="s">
        <v>16</v>
      </c>
      <c r="J35" s="11">
        <v>45524.0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2.5" customHeight="1">
      <c r="A36" s="9" t="s">
        <v>354</v>
      </c>
      <c r="B36" s="9" t="s">
        <v>355</v>
      </c>
      <c r="C36" s="9" t="s">
        <v>356</v>
      </c>
      <c r="D36" s="10">
        <v>7.0</v>
      </c>
      <c r="E36" s="12" t="s">
        <v>20</v>
      </c>
      <c r="F36" s="9" t="s">
        <v>39</v>
      </c>
      <c r="G36" s="12" t="s">
        <v>301</v>
      </c>
      <c r="H36" s="10">
        <v>1041.0</v>
      </c>
      <c r="I36" s="9" t="s">
        <v>16</v>
      </c>
      <c r="J36" s="11">
        <v>45524.0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2.5" customHeight="1">
      <c r="A37" s="9" t="s">
        <v>357</v>
      </c>
      <c r="B37" s="9" t="s">
        <v>358</v>
      </c>
      <c r="C37" s="9" t="s">
        <v>146</v>
      </c>
      <c r="D37" s="10">
        <v>7.0</v>
      </c>
      <c r="E37" s="12" t="s">
        <v>20</v>
      </c>
      <c r="F37" s="9" t="s">
        <v>14</v>
      </c>
      <c r="G37" s="12" t="s">
        <v>15</v>
      </c>
      <c r="H37" s="10">
        <v>1041.0</v>
      </c>
      <c r="I37" s="9" t="s">
        <v>16</v>
      </c>
      <c r="J37" s="11">
        <v>45524.0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2.5" customHeight="1">
      <c r="A38" s="9" t="s">
        <v>226</v>
      </c>
      <c r="B38" s="9" t="s">
        <v>227</v>
      </c>
      <c r="C38" s="9" t="s">
        <v>228</v>
      </c>
      <c r="D38" s="10">
        <v>8.0</v>
      </c>
      <c r="E38" s="12" t="s">
        <v>13</v>
      </c>
      <c r="F38" s="9" t="s">
        <v>14</v>
      </c>
      <c r="G38" s="12" t="s">
        <v>15</v>
      </c>
      <c r="H38" s="10">
        <v>1042.0</v>
      </c>
      <c r="I38" s="9" t="s">
        <v>16</v>
      </c>
      <c r="J38" s="11">
        <v>45524.0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2.5" customHeight="1">
      <c r="A39" s="9" t="s">
        <v>359</v>
      </c>
      <c r="B39" s="9" t="s">
        <v>360</v>
      </c>
      <c r="C39" s="9" t="s">
        <v>153</v>
      </c>
      <c r="D39" s="10">
        <v>8.0</v>
      </c>
      <c r="E39" s="12" t="s">
        <v>13</v>
      </c>
      <c r="F39" s="9" t="s">
        <v>14</v>
      </c>
      <c r="G39" s="12" t="s">
        <v>15</v>
      </c>
      <c r="H39" s="10">
        <v>1041.0</v>
      </c>
      <c r="I39" s="9" t="s">
        <v>16</v>
      </c>
      <c r="J39" s="11">
        <v>45524.0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2.5" customHeight="1">
      <c r="A40" s="9" t="s">
        <v>361</v>
      </c>
      <c r="B40" s="9" t="s">
        <v>362</v>
      </c>
      <c r="C40" s="9" t="s">
        <v>251</v>
      </c>
      <c r="D40" s="10">
        <v>7.0</v>
      </c>
      <c r="E40" s="12" t="s">
        <v>20</v>
      </c>
      <c r="F40" s="9" t="s">
        <v>14</v>
      </c>
      <c r="G40" s="12" t="s">
        <v>15</v>
      </c>
      <c r="H40" s="10">
        <v>1042.0</v>
      </c>
      <c r="I40" s="9" t="s">
        <v>16</v>
      </c>
      <c r="J40" s="11">
        <v>45524.0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2.5" customHeight="1">
      <c r="A41" s="9" t="s">
        <v>363</v>
      </c>
      <c r="B41" s="9" t="s">
        <v>364</v>
      </c>
      <c r="C41" s="9" t="s">
        <v>365</v>
      </c>
      <c r="D41" s="10">
        <v>8.0</v>
      </c>
      <c r="E41" s="12" t="s">
        <v>13</v>
      </c>
      <c r="F41" s="9" t="s">
        <v>14</v>
      </c>
      <c r="G41" s="12" t="s">
        <v>15</v>
      </c>
      <c r="H41" s="10">
        <v>1042.0</v>
      </c>
      <c r="I41" s="9" t="s">
        <v>16</v>
      </c>
      <c r="J41" s="11">
        <v>45524.0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2.5" customHeight="1">
      <c r="A42" s="9" t="s">
        <v>366</v>
      </c>
      <c r="B42" s="9" t="s">
        <v>367</v>
      </c>
      <c r="C42" s="9" t="s">
        <v>368</v>
      </c>
      <c r="D42" s="10">
        <v>7.0</v>
      </c>
      <c r="E42" s="12" t="s">
        <v>13</v>
      </c>
      <c r="F42" s="9" t="s">
        <v>14</v>
      </c>
      <c r="G42" s="12" t="s">
        <v>15</v>
      </c>
      <c r="H42" s="10">
        <v>1041.0</v>
      </c>
      <c r="I42" s="9" t="s">
        <v>16</v>
      </c>
      <c r="J42" s="11">
        <v>45524.0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2.5" customHeight="1">
      <c r="A43" s="9" t="s">
        <v>369</v>
      </c>
      <c r="B43" s="9" t="s">
        <v>370</v>
      </c>
      <c r="C43" s="9" t="s">
        <v>371</v>
      </c>
      <c r="D43" s="10">
        <v>7.0</v>
      </c>
      <c r="E43" s="12" t="s">
        <v>20</v>
      </c>
      <c r="F43" s="9" t="s">
        <v>14</v>
      </c>
      <c r="G43" s="12" t="s">
        <v>15</v>
      </c>
      <c r="H43" s="10">
        <v>1041.0</v>
      </c>
      <c r="I43" s="9" t="s">
        <v>16</v>
      </c>
      <c r="J43" s="11">
        <v>45524.0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2.5" customHeight="1">
      <c r="A44" s="9" t="s">
        <v>372</v>
      </c>
      <c r="B44" s="9" t="s">
        <v>373</v>
      </c>
      <c r="C44" s="9" t="s">
        <v>374</v>
      </c>
      <c r="D44" s="10">
        <v>7.0</v>
      </c>
      <c r="E44" s="12" t="s">
        <v>13</v>
      </c>
      <c r="F44" s="9" t="s">
        <v>14</v>
      </c>
      <c r="G44" s="12" t="s">
        <v>15</v>
      </c>
      <c r="H44" s="10">
        <v>1042.0</v>
      </c>
      <c r="I44" s="9" t="s">
        <v>16</v>
      </c>
      <c r="J44" s="11">
        <v>45524.0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2.5" customHeight="1">
      <c r="A45" s="9" t="s">
        <v>375</v>
      </c>
      <c r="B45" s="9" t="s">
        <v>376</v>
      </c>
      <c r="C45" s="9" t="s">
        <v>377</v>
      </c>
      <c r="D45" s="10">
        <v>7.0</v>
      </c>
      <c r="E45" s="12" t="s">
        <v>13</v>
      </c>
      <c r="F45" s="9" t="s">
        <v>14</v>
      </c>
      <c r="G45" s="12" t="s">
        <v>15</v>
      </c>
      <c r="H45" s="10">
        <v>1042.0</v>
      </c>
      <c r="I45" s="9" t="s">
        <v>16</v>
      </c>
      <c r="J45" s="11">
        <v>45524.0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2.5" customHeight="1">
      <c r="A46" s="9" t="s">
        <v>378</v>
      </c>
      <c r="B46" s="9" t="s">
        <v>379</v>
      </c>
      <c r="C46" s="9" t="s">
        <v>380</v>
      </c>
      <c r="D46" s="10">
        <v>8.0</v>
      </c>
      <c r="E46" s="12" t="s">
        <v>20</v>
      </c>
      <c r="F46" s="9" t="s">
        <v>14</v>
      </c>
      <c r="G46" s="12" t="s">
        <v>15</v>
      </c>
      <c r="H46" s="10">
        <v>1041.0</v>
      </c>
      <c r="I46" s="9" t="s">
        <v>16</v>
      </c>
      <c r="J46" s="11">
        <v>45524.0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2.5" customHeight="1">
      <c r="A47" s="9" t="s">
        <v>381</v>
      </c>
      <c r="B47" s="9" t="s">
        <v>382</v>
      </c>
      <c r="C47" s="9" t="s">
        <v>383</v>
      </c>
      <c r="D47" s="10">
        <v>8.0</v>
      </c>
      <c r="E47" s="12" t="s">
        <v>13</v>
      </c>
      <c r="F47" s="9" t="s">
        <v>39</v>
      </c>
      <c r="G47" s="12" t="s">
        <v>15</v>
      </c>
      <c r="H47" s="10">
        <v>1041.0</v>
      </c>
      <c r="I47" s="9" t="s">
        <v>16</v>
      </c>
      <c r="J47" s="11">
        <v>45524.0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2.5" customHeight="1">
      <c r="A48" s="9" t="s">
        <v>384</v>
      </c>
      <c r="B48" s="9" t="s">
        <v>385</v>
      </c>
      <c r="C48" s="9" t="s">
        <v>386</v>
      </c>
      <c r="D48" s="10">
        <v>8.0</v>
      </c>
      <c r="E48" s="12" t="s">
        <v>13</v>
      </c>
      <c r="F48" s="9" t="s">
        <v>14</v>
      </c>
      <c r="G48" s="12" t="s">
        <v>194</v>
      </c>
      <c r="H48" s="10">
        <v>1042.0</v>
      </c>
      <c r="I48" s="9" t="s">
        <v>16</v>
      </c>
      <c r="J48" s="11">
        <v>45524.0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2.5" customHeight="1">
      <c r="A49" s="9" t="s">
        <v>387</v>
      </c>
      <c r="B49" s="9" t="s">
        <v>388</v>
      </c>
      <c r="C49" s="9" t="s">
        <v>389</v>
      </c>
      <c r="D49" s="10">
        <v>8.0</v>
      </c>
      <c r="E49" s="12" t="s">
        <v>20</v>
      </c>
      <c r="F49" s="9" t="s">
        <v>14</v>
      </c>
      <c r="G49" s="12" t="s">
        <v>15</v>
      </c>
      <c r="H49" s="10">
        <v>1042.0</v>
      </c>
      <c r="I49" s="9" t="s">
        <v>16</v>
      </c>
      <c r="J49" s="11">
        <v>45524.0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2.5" customHeight="1">
      <c r="A50" s="9" t="s">
        <v>390</v>
      </c>
      <c r="B50" s="9" t="s">
        <v>391</v>
      </c>
      <c r="C50" s="9" t="s">
        <v>392</v>
      </c>
      <c r="D50" s="10">
        <v>8.0</v>
      </c>
      <c r="E50" s="12" t="s">
        <v>20</v>
      </c>
      <c r="F50" s="9" t="s">
        <v>14</v>
      </c>
      <c r="G50" s="12" t="s">
        <v>15</v>
      </c>
      <c r="H50" s="10">
        <v>1042.0</v>
      </c>
      <c r="I50" s="9" t="s">
        <v>16</v>
      </c>
      <c r="J50" s="11">
        <v>45524.0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2.5" customHeight="1">
      <c r="A51" s="9" t="s">
        <v>248</v>
      </c>
      <c r="B51" s="9" t="s">
        <v>95</v>
      </c>
      <c r="C51" s="9" t="s">
        <v>249</v>
      </c>
      <c r="D51" s="10">
        <v>8.0</v>
      </c>
      <c r="E51" s="12" t="s">
        <v>20</v>
      </c>
      <c r="F51" s="9" t="s">
        <v>14</v>
      </c>
      <c r="G51" s="12" t="s">
        <v>15</v>
      </c>
      <c r="H51" s="10">
        <v>1041.0</v>
      </c>
      <c r="I51" s="9" t="s">
        <v>16</v>
      </c>
      <c r="J51" s="11">
        <v>45524.0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2.5" customHeight="1">
      <c r="A52" s="9" t="s">
        <v>250</v>
      </c>
      <c r="B52" s="9" t="s">
        <v>95</v>
      </c>
      <c r="C52" s="9" t="s">
        <v>251</v>
      </c>
      <c r="D52" s="10">
        <v>8.0</v>
      </c>
      <c r="E52" s="12" t="s">
        <v>20</v>
      </c>
      <c r="F52" s="9" t="s">
        <v>14</v>
      </c>
      <c r="G52" s="12" t="s">
        <v>15</v>
      </c>
      <c r="H52" s="10">
        <v>1042.0</v>
      </c>
      <c r="I52" s="9" t="s">
        <v>16</v>
      </c>
      <c r="J52" s="11">
        <v>45524.0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2.5" customHeight="1">
      <c r="A53" s="9" t="s">
        <v>393</v>
      </c>
      <c r="B53" s="9" t="s">
        <v>394</v>
      </c>
      <c r="C53" s="9" t="s">
        <v>395</v>
      </c>
      <c r="D53" s="10">
        <v>7.0</v>
      </c>
      <c r="E53" s="12" t="s">
        <v>13</v>
      </c>
      <c r="F53" s="9" t="s">
        <v>14</v>
      </c>
      <c r="G53" s="12" t="s">
        <v>15</v>
      </c>
      <c r="H53" s="10">
        <v>1041.0</v>
      </c>
      <c r="I53" s="9" t="s">
        <v>16</v>
      </c>
      <c r="J53" s="11">
        <v>45524.0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2.5" customHeight="1">
      <c r="A54" s="9" t="s">
        <v>396</v>
      </c>
      <c r="B54" s="9" t="s">
        <v>397</v>
      </c>
      <c r="C54" s="9" t="s">
        <v>398</v>
      </c>
      <c r="D54" s="10">
        <v>8.0</v>
      </c>
      <c r="E54" s="12" t="s">
        <v>13</v>
      </c>
      <c r="F54" s="9" t="s">
        <v>14</v>
      </c>
      <c r="G54" s="12" t="s">
        <v>15</v>
      </c>
      <c r="H54" s="10">
        <v>1042.0</v>
      </c>
      <c r="I54" s="9" t="s">
        <v>16</v>
      </c>
      <c r="J54" s="11">
        <v>45524.0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2.5" customHeight="1">
      <c r="A55" s="9" t="s">
        <v>252</v>
      </c>
      <c r="B55" s="9" t="s">
        <v>253</v>
      </c>
      <c r="C55" s="9" t="s">
        <v>254</v>
      </c>
      <c r="D55" s="10">
        <v>8.0</v>
      </c>
      <c r="E55" s="12" t="s">
        <v>13</v>
      </c>
      <c r="F55" s="9" t="s">
        <v>14</v>
      </c>
      <c r="G55" s="12" t="s">
        <v>15</v>
      </c>
      <c r="H55" s="10">
        <v>1042.0</v>
      </c>
      <c r="I55" s="9" t="s">
        <v>16</v>
      </c>
      <c r="J55" s="11">
        <v>45524.0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2.5" customHeight="1">
      <c r="A56" s="9" t="s">
        <v>399</v>
      </c>
      <c r="B56" s="9" t="s">
        <v>400</v>
      </c>
      <c r="C56" s="9" t="s">
        <v>401</v>
      </c>
      <c r="D56" s="10">
        <v>7.0</v>
      </c>
      <c r="E56" s="12" t="s">
        <v>13</v>
      </c>
      <c r="F56" s="9" t="s">
        <v>14</v>
      </c>
      <c r="G56" s="12" t="s">
        <v>15</v>
      </c>
      <c r="H56" s="10">
        <v>1041.0</v>
      </c>
      <c r="I56" s="9" t="s">
        <v>16</v>
      </c>
      <c r="J56" s="11">
        <v>45524.0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2.5" customHeight="1">
      <c r="A57" s="9" t="s">
        <v>257</v>
      </c>
      <c r="B57" s="9" t="s">
        <v>258</v>
      </c>
      <c r="C57" s="9" t="s">
        <v>259</v>
      </c>
      <c r="D57" s="10">
        <v>8.0</v>
      </c>
      <c r="E57" s="12" t="s">
        <v>13</v>
      </c>
      <c r="F57" s="9" t="s">
        <v>14</v>
      </c>
      <c r="G57" s="12" t="s">
        <v>15</v>
      </c>
      <c r="H57" s="10">
        <v>1042.0</v>
      </c>
      <c r="I57" s="9" t="s">
        <v>16</v>
      </c>
      <c r="J57" s="11">
        <v>45524.0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2.5" customHeight="1">
      <c r="A58" s="9" t="s">
        <v>402</v>
      </c>
      <c r="B58" s="9" t="s">
        <v>403</v>
      </c>
      <c r="C58" s="9" t="s">
        <v>135</v>
      </c>
      <c r="D58" s="10">
        <v>7.0</v>
      </c>
      <c r="E58" s="12" t="s">
        <v>13</v>
      </c>
      <c r="F58" s="9" t="s">
        <v>14</v>
      </c>
      <c r="G58" s="12" t="s">
        <v>15</v>
      </c>
      <c r="H58" s="10">
        <v>1041.0</v>
      </c>
      <c r="I58" s="9" t="s">
        <v>16</v>
      </c>
      <c r="J58" s="11">
        <v>45524.0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2.5" customHeight="1">
      <c r="A59" s="9" t="s">
        <v>404</v>
      </c>
      <c r="B59" s="9" t="s">
        <v>405</v>
      </c>
      <c r="C59" s="9" t="s">
        <v>406</v>
      </c>
      <c r="D59" s="10">
        <v>8.0</v>
      </c>
      <c r="E59" s="12" t="s">
        <v>13</v>
      </c>
      <c r="F59" s="9" t="s">
        <v>14</v>
      </c>
      <c r="G59" s="12" t="s">
        <v>15</v>
      </c>
      <c r="H59" s="10">
        <v>1042.0</v>
      </c>
      <c r="I59" s="9" t="s">
        <v>16</v>
      </c>
      <c r="J59" s="11">
        <v>45524.0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2.5" customHeight="1">
      <c r="A60" s="9" t="s">
        <v>407</v>
      </c>
      <c r="B60" s="9" t="s">
        <v>408</v>
      </c>
      <c r="C60" s="9" t="s">
        <v>409</v>
      </c>
      <c r="D60" s="10">
        <v>7.0</v>
      </c>
      <c r="E60" s="12" t="s">
        <v>20</v>
      </c>
      <c r="F60" s="9" t="s">
        <v>14</v>
      </c>
      <c r="G60" s="12" t="s">
        <v>27</v>
      </c>
      <c r="H60" s="10">
        <v>1041.0</v>
      </c>
      <c r="I60" s="9" t="s">
        <v>16</v>
      </c>
      <c r="J60" s="11">
        <v>45524.0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list" allowBlank="1" showDropDown="1" showErrorMessage="1" sqref="G2:G60">
      <formula1>"White,Chinese,Filipino,Other Asian,No Answer Provided"</formula1>
    </dataValidation>
    <dataValidation type="custom" allowBlank="1" showDropDown="1" sqref="J2:J60">
      <formula1>OR(NOT(ISERROR(DATEVALUE(J2))), AND(ISNUMBER(J2), LEFT(CELL("format", J2))="D"))</formula1>
    </dataValidation>
    <dataValidation type="list" allowBlank="1" showDropDown="1" showErrorMessage="1" sqref="E2:E60">
      <formula1>"M,F"</formula1>
    </dataValidation>
    <dataValidation type="custom" allowBlank="1" showDropDown="1" sqref="D2:D60 H2:H60">
      <formula1>AND(ISNUMBER(D2),(NOT(OR(NOT(ISERROR(DATEVALUE(D2))), AND(ISNUMBER(D2), LEFT(CELL("format", D2))="D")))))</formula1>
    </dataValidation>
    <dataValidation allowBlank="1" showDropDown="1" sqref="A2:C60 F2:F60 I2:I60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17.13"/>
    <col customWidth="1" min="3" max="3" width="17.38"/>
    <col customWidth="1" min="4" max="4" width="13.63"/>
    <col customWidth="1" min="6" max="7" width="26.38"/>
    <col customWidth="1" min="8" max="8" width="15.75"/>
    <col customWidth="1" min="9" max="9" width="16.63"/>
    <col customWidth="1" min="10" max="10" width="18.63"/>
  </cols>
  <sheetData>
    <row r="1" ht="22.5" customHeight="1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7" t="s">
        <v>9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9" t="s">
        <v>410</v>
      </c>
      <c r="B2" s="9" t="s">
        <v>411</v>
      </c>
      <c r="C2" s="9" t="s">
        <v>412</v>
      </c>
      <c r="D2" s="10">
        <v>8.0</v>
      </c>
      <c r="E2" s="12" t="s">
        <v>13</v>
      </c>
      <c r="F2" s="9" t="s">
        <v>14</v>
      </c>
      <c r="G2" s="9" t="s">
        <v>93</v>
      </c>
      <c r="H2" s="10">
        <v>1064.0</v>
      </c>
      <c r="I2" s="9" t="s">
        <v>16</v>
      </c>
      <c r="J2" s="11">
        <v>45889.0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9" t="s">
        <v>413</v>
      </c>
      <c r="B3" s="9" t="s">
        <v>184</v>
      </c>
      <c r="C3" s="9" t="s">
        <v>414</v>
      </c>
      <c r="D3" s="10">
        <v>7.0</v>
      </c>
      <c r="E3" s="12" t="s">
        <v>20</v>
      </c>
      <c r="F3" s="9" t="s">
        <v>14</v>
      </c>
      <c r="G3" s="9" t="s">
        <v>15</v>
      </c>
      <c r="H3" s="10">
        <v>1064.0</v>
      </c>
      <c r="I3" s="9" t="s">
        <v>16</v>
      </c>
      <c r="J3" s="11">
        <v>45889.0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9" t="s">
        <v>266</v>
      </c>
      <c r="B4" s="9" t="s">
        <v>267</v>
      </c>
      <c r="C4" s="9" t="s">
        <v>268</v>
      </c>
      <c r="D4" s="10">
        <v>8.0</v>
      </c>
      <c r="E4" s="12" t="s">
        <v>13</v>
      </c>
      <c r="F4" s="9" t="s">
        <v>14</v>
      </c>
      <c r="G4" s="9" t="s">
        <v>15</v>
      </c>
      <c r="H4" s="10">
        <v>1065.0</v>
      </c>
      <c r="I4" s="9" t="s">
        <v>16</v>
      </c>
      <c r="J4" s="11">
        <v>45889.0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2.5" customHeight="1">
      <c r="A5" s="9" t="s">
        <v>415</v>
      </c>
      <c r="B5" s="9" t="s">
        <v>416</v>
      </c>
      <c r="C5" s="9" t="s">
        <v>417</v>
      </c>
      <c r="D5" s="10">
        <v>8.0</v>
      </c>
      <c r="E5" s="12" t="s">
        <v>20</v>
      </c>
      <c r="F5" s="9" t="s">
        <v>14</v>
      </c>
      <c r="G5" s="9" t="s">
        <v>15</v>
      </c>
      <c r="H5" s="10">
        <v>1064.0</v>
      </c>
      <c r="I5" s="9" t="s">
        <v>16</v>
      </c>
      <c r="J5" s="11">
        <v>45889.0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2.5" customHeight="1">
      <c r="A6" s="9" t="s">
        <v>418</v>
      </c>
      <c r="B6" s="9" t="s">
        <v>419</v>
      </c>
      <c r="C6" s="9" t="s">
        <v>70</v>
      </c>
      <c r="D6" s="10">
        <v>8.0</v>
      </c>
      <c r="E6" s="12" t="s">
        <v>13</v>
      </c>
      <c r="F6" s="9" t="s">
        <v>14</v>
      </c>
      <c r="G6" s="9" t="s">
        <v>15</v>
      </c>
      <c r="H6" s="10">
        <v>1064.0</v>
      </c>
      <c r="I6" s="9" t="s">
        <v>16</v>
      </c>
      <c r="J6" s="11">
        <v>45889.0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9" t="s">
        <v>272</v>
      </c>
      <c r="B7" s="9" t="s">
        <v>273</v>
      </c>
      <c r="C7" s="9" t="s">
        <v>274</v>
      </c>
      <c r="D7" s="10">
        <v>8.0</v>
      </c>
      <c r="E7" s="12" t="s">
        <v>13</v>
      </c>
      <c r="F7" s="9" t="s">
        <v>14</v>
      </c>
      <c r="G7" s="9" t="s">
        <v>15</v>
      </c>
      <c r="H7" s="10">
        <v>1065.0</v>
      </c>
      <c r="I7" s="9" t="s">
        <v>16</v>
      </c>
      <c r="J7" s="11">
        <v>45889.0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2.5" customHeight="1">
      <c r="A8" s="9" t="s">
        <v>420</v>
      </c>
      <c r="B8" s="9" t="s">
        <v>421</v>
      </c>
      <c r="C8" s="9" t="s">
        <v>162</v>
      </c>
      <c r="D8" s="10">
        <v>7.0</v>
      </c>
      <c r="E8" s="12" t="s">
        <v>13</v>
      </c>
      <c r="F8" s="9" t="s">
        <v>14</v>
      </c>
      <c r="G8" s="9" t="s">
        <v>15</v>
      </c>
      <c r="H8" s="10">
        <v>1064.0</v>
      </c>
      <c r="I8" s="9" t="s">
        <v>16</v>
      </c>
      <c r="J8" s="11">
        <v>45889.0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2.5" customHeight="1">
      <c r="A9" s="9" t="s">
        <v>422</v>
      </c>
      <c r="B9" s="9" t="s">
        <v>423</v>
      </c>
      <c r="C9" s="9" t="s">
        <v>424</v>
      </c>
      <c r="D9" s="10">
        <v>8.0</v>
      </c>
      <c r="E9" s="12" t="s">
        <v>13</v>
      </c>
      <c r="F9" s="9" t="s">
        <v>14</v>
      </c>
      <c r="G9" s="9" t="s">
        <v>15</v>
      </c>
      <c r="H9" s="10">
        <v>1064.0</v>
      </c>
      <c r="I9" s="9" t="s">
        <v>16</v>
      </c>
      <c r="J9" s="11">
        <v>45889.0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2.5" customHeight="1">
      <c r="A10" s="9" t="s">
        <v>425</v>
      </c>
      <c r="B10" s="9" t="s">
        <v>426</v>
      </c>
      <c r="C10" s="9" t="s">
        <v>427</v>
      </c>
      <c r="D10" s="10">
        <v>8.0</v>
      </c>
      <c r="E10" s="12" t="s">
        <v>13</v>
      </c>
      <c r="F10" s="9" t="s">
        <v>39</v>
      </c>
      <c r="G10" s="9" t="s">
        <v>15</v>
      </c>
      <c r="H10" s="10">
        <v>1065.0</v>
      </c>
      <c r="I10" s="9" t="s">
        <v>16</v>
      </c>
      <c r="J10" s="11">
        <v>45889.0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9" t="s">
        <v>428</v>
      </c>
      <c r="B11" s="9" t="s">
        <v>429</v>
      </c>
      <c r="C11" s="9" t="s">
        <v>430</v>
      </c>
      <c r="D11" s="10">
        <v>7.0</v>
      </c>
      <c r="E11" s="12" t="s">
        <v>13</v>
      </c>
      <c r="F11" s="9" t="s">
        <v>39</v>
      </c>
      <c r="G11" s="9" t="s">
        <v>301</v>
      </c>
      <c r="H11" s="10">
        <v>1065.0</v>
      </c>
      <c r="I11" s="9" t="s">
        <v>16</v>
      </c>
      <c r="J11" s="11">
        <v>45889.0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2.5" customHeight="1">
      <c r="A12" s="9" t="s">
        <v>431</v>
      </c>
      <c r="B12" s="9" t="s">
        <v>432</v>
      </c>
      <c r="C12" s="9" t="s">
        <v>433</v>
      </c>
      <c r="D12" s="10">
        <v>8.0</v>
      </c>
      <c r="E12" s="12" t="s">
        <v>13</v>
      </c>
      <c r="F12" s="9" t="s">
        <v>39</v>
      </c>
      <c r="G12" s="9" t="s">
        <v>301</v>
      </c>
      <c r="H12" s="10">
        <v>1064.0</v>
      </c>
      <c r="I12" s="9" t="s">
        <v>16</v>
      </c>
      <c r="J12" s="11">
        <v>45889.0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2.5" customHeight="1">
      <c r="A13" s="9" t="s">
        <v>434</v>
      </c>
      <c r="B13" s="9" t="s">
        <v>435</v>
      </c>
      <c r="C13" s="9" t="s">
        <v>436</v>
      </c>
      <c r="D13" s="10">
        <v>7.0</v>
      </c>
      <c r="E13" s="12" t="s">
        <v>13</v>
      </c>
      <c r="F13" s="9" t="s">
        <v>39</v>
      </c>
      <c r="G13" s="9" t="s">
        <v>301</v>
      </c>
      <c r="H13" s="10">
        <v>1064.0</v>
      </c>
      <c r="I13" s="9" t="s">
        <v>16</v>
      </c>
      <c r="J13" s="11">
        <v>45889.0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9" t="s">
        <v>437</v>
      </c>
      <c r="B14" s="9" t="s">
        <v>438</v>
      </c>
      <c r="C14" s="9" t="s">
        <v>228</v>
      </c>
      <c r="D14" s="10">
        <v>7.0</v>
      </c>
      <c r="E14" s="12" t="s">
        <v>13</v>
      </c>
      <c r="F14" s="9" t="s">
        <v>39</v>
      </c>
      <c r="G14" s="9" t="s">
        <v>194</v>
      </c>
      <c r="H14" s="10">
        <v>1065.0</v>
      </c>
      <c r="I14" s="9" t="s">
        <v>16</v>
      </c>
      <c r="J14" s="11">
        <v>45889.0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2.5" customHeight="1">
      <c r="A15" s="9" t="s">
        <v>439</v>
      </c>
      <c r="B15" s="9" t="s">
        <v>440</v>
      </c>
      <c r="C15" s="9" t="s">
        <v>441</v>
      </c>
      <c r="D15" s="10">
        <v>7.0</v>
      </c>
      <c r="E15" s="12" t="s">
        <v>13</v>
      </c>
      <c r="F15" s="9" t="s">
        <v>14</v>
      </c>
      <c r="G15" s="9" t="s">
        <v>15</v>
      </c>
      <c r="H15" s="10">
        <v>1064.0</v>
      </c>
      <c r="I15" s="9" t="s">
        <v>16</v>
      </c>
      <c r="J15" s="11">
        <v>45889.0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2.5" customHeight="1">
      <c r="A16" s="9" t="s">
        <v>285</v>
      </c>
      <c r="B16" s="9" t="s">
        <v>286</v>
      </c>
      <c r="C16" s="9" t="s">
        <v>287</v>
      </c>
      <c r="D16" s="10">
        <v>8.0</v>
      </c>
      <c r="E16" s="12" t="s">
        <v>13</v>
      </c>
      <c r="F16" s="9" t="s">
        <v>14</v>
      </c>
      <c r="G16" s="9" t="s">
        <v>288</v>
      </c>
      <c r="H16" s="10">
        <v>1065.0</v>
      </c>
      <c r="I16" s="9" t="s">
        <v>16</v>
      </c>
      <c r="J16" s="11">
        <v>45889.0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2.5" customHeight="1">
      <c r="A17" s="9" t="s">
        <v>442</v>
      </c>
      <c r="B17" s="9" t="s">
        <v>443</v>
      </c>
      <c r="C17" s="9" t="s">
        <v>444</v>
      </c>
      <c r="D17" s="10">
        <v>7.0</v>
      </c>
      <c r="E17" s="12" t="s">
        <v>20</v>
      </c>
      <c r="F17" s="9" t="s">
        <v>39</v>
      </c>
      <c r="G17" s="9" t="s">
        <v>15</v>
      </c>
      <c r="H17" s="10">
        <v>1064.0</v>
      </c>
      <c r="I17" s="9" t="s">
        <v>16</v>
      </c>
      <c r="J17" s="11">
        <v>45889.0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2.5" customHeight="1">
      <c r="A18" s="9" t="s">
        <v>445</v>
      </c>
      <c r="B18" s="9" t="s">
        <v>446</v>
      </c>
      <c r="C18" s="9" t="s">
        <v>447</v>
      </c>
      <c r="D18" s="10">
        <v>7.0</v>
      </c>
      <c r="E18" s="12" t="s">
        <v>13</v>
      </c>
      <c r="F18" s="9" t="s">
        <v>14</v>
      </c>
      <c r="G18" s="9" t="s">
        <v>15</v>
      </c>
      <c r="H18" s="10">
        <v>1064.0</v>
      </c>
      <c r="I18" s="9" t="s">
        <v>16</v>
      </c>
      <c r="J18" s="11">
        <v>45889.0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2.5" customHeight="1">
      <c r="A19" s="9" t="s">
        <v>448</v>
      </c>
      <c r="B19" s="9" t="s">
        <v>449</v>
      </c>
      <c r="C19" s="9" t="s">
        <v>450</v>
      </c>
      <c r="D19" s="10">
        <v>7.0</v>
      </c>
      <c r="E19" s="12" t="s">
        <v>13</v>
      </c>
      <c r="F19" s="9" t="s">
        <v>14</v>
      </c>
      <c r="G19" s="9" t="s">
        <v>15</v>
      </c>
      <c r="H19" s="10">
        <v>1065.0</v>
      </c>
      <c r="I19" s="9" t="s">
        <v>16</v>
      </c>
      <c r="J19" s="11">
        <v>45889.0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2.5" customHeight="1">
      <c r="A20" s="9" t="s">
        <v>451</v>
      </c>
      <c r="B20" s="9" t="s">
        <v>452</v>
      </c>
      <c r="C20" s="9" t="s">
        <v>453</v>
      </c>
      <c r="D20" s="10">
        <v>8.0</v>
      </c>
      <c r="E20" s="12" t="s">
        <v>20</v>
      </c>
      <c r="F20" s="9" t="s">
        <v>14</v>
      </c>
      <c r="G20" s="9" t="s">
        <v>194</v>
      </c>
      <c r="H20" s="10">
        <v>1065.0</v>
      </c>
      <c r="I20" s="9" t="s">
        <v>16</v>
      </c>
      <c r="J20" s="11">
        <v>45889.0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2.5" customHeight="1">
      <c r="A21" s="9" t="s">
        <v>454</v>
      </c>
      <c r="B21" s="9" t="s">
        <v>455</v>
      </c>
      <c r="C21" s="9" t="s">
        <v>456</v>
      </c>
      <c r="D21" s="10">
        <v>8.0</v>
      </c>
      <c r="E21" s="12" t="s">
        <v>13</v>
      </c>
      <c r="F21" s="9" t="s">
        <v>14</v>
      </c>
      <c r="G21" s="9" t="s">
        <v>15</v>
      </c>
      <c r="H21" s="10">
        <v>1064.0</v>
      </c>
      <c r="I21" s="9" t="s">
        <v>16</v>
      </c>
      <c r="J21" s="11">
        <v>45889.0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2.5" customHeight="1">
      <c r="A22" s="9" t="s">
        <v>311</v>
      </c>
      <c r="B22" s="9" t="s">
        <v>312</v>
      </c>
      <c r="C22" s="9" t="s">
        <v>313</v>
      </c>
      <c r="D22" s="10">
        <v>8.0</v>
      </c>
      <c r="E22" s="12" t="s">
        <v>13</v>
      </c>
      <c r="F22" s="9" t="s">
        <v>14</v>
      </c>
      <c r="G22" s="9" t="s">
        <v>15</v>
      </c>
      <c r="H22" s="10">
        <v>1064.0</v>
      </c>
      <c r="I22" s="9" t="s">
        <v>16</v>
      </c>
      <c r="J22" s="11">
        <v>45889.0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2.5" customHeight="1">
      <c r="A23" s="9" t="s">
        <v>457</v>
      </c>
      <c r="B23" s="9" t="s">
        <v>458</v>
      </c>
      <c r="C23" s="9" t="s">
        <v>459</v>
      </c>
      <c r="D23" s="10">
        <v>8.0</v>
      </c>
      <c r="E23" s="12" t="s">
        <v>13</v>
      </c>
      <c r="F23" s="9" t="s">
        <v>14</v>
      </c>
      <c r="G23" s="9" t="s">
        <v>15</v>
      </c>
      <c r="H23" s="10">
        <v>1065.0</v>
      </c>
      <c r="I23" s="9" t="s">
        <v>16</v>
      </c>
      <c r="J23" s="11">
        <v>45889.0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2.5" customHeight="1">
      <c r="A24" s="9" t="s">
        <v>460</v>
      </c>
      <c r="B24" s="9" t="s">
        <v>461</v>
      </c>
      <c r="C24" s="9" t="s">
        <v>462</v>
      </c>
      <c r="D24" s="10">
        <v>8.0</v>
      </c>
      <c r="E24" s="12" t="s">
        <v>13</v>
      </c>
      <c r="F24" s="9" t="s">
        <v>14</v>
      </c>
      <c r="G24" s="9" t="s">
        <v>15</v>
      </c>
      <c r="H24" s="10">
        <v>1065.0</v>
      </c>
      <c r="I24" s="9" t="s">
        <v>16</v>
      </c>
      <c r="J24" s="11">
        <v>45889.0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2.5" customHeight="1">
      <c r="A25" s="9" t="s">
        <v>463</v>
      </c>
      <c r="B25" s="9" t="s">
        <v>464</v>
      </c>
      <c r="C25" s="9" t="s">
        <v>465</v>
      </c>
      <c r="D25" s="10">
        <v>7.0</v>
      </c>
      <c r="E25" s="12" t="s">
        <v>20</v>
      </c>
      <c r="F25" s="9" t="s">
        <v>466</v>
      </c>
      <c r="G25" s="9" t="s">
        <v>194</v>
      </c>
      <c r="H25" s="10">
        <v>1065.0</v>
      </c>
      <c r="I25" s="9" t="s">
        <v>16</v>
      </c>
      <c r="J25" s="11">
        <v>45889.0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2.5" customHeight="1">
      <c r="A26" s="9" t="s">
        <v>467</v>
      </c>
      <c r="B26" s="9" t="s">
        <v>468</v>
      </c>
      <c r="C26" s="9" t="s">
        <v>469</v>
      </c>
      <c r="D26" s="10">
        <v>8.0</v>
      </c>
      <c r="E26" s="12" t="s">
        <v>20</v>
      </c>
      <c r="F26" s="9" t="s">
        <v>14</v>
      </c>
      <c r="G26" s="9" t="s">
        <v>15</v>
      </c>
      <c r="H26" s="10">
        <v>1065.0</v>
      </c>
      <c r="I26" s="9" t="s">
        <v>16</v>
      </c>
      <c r="J26" s="11">
        <v>45889.0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2.5" customHeight="1">
      <c r="A27" s="9" t="s">
        <v>319</v>
      </c>
      <c r="B27" s="9" t="s">
        <v>320</v>
      </c>
      <c r="C27" s="9" t="s">
        <v>321</v>
      </c>
      <c r="D27" s="10">
        <v>8.0</v>
      </c>
      <c r="E27" s="12" t="s">
        <v>13</v>
      </c>
      <c r="F27" s="9" t="s">
        <v>14</v>
      </c>
      <c r="G27" s="9" t="s">
        <v>15</v>
      </c>
      <c r="H27" s="10">
        <v>1064.0</v>
      </c>
      <c r="I27" s="9" t="s">
        <v>16</v>
      </c>
      <c r="J27" s="11">
        <v>45889.0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2.5" customHeight="1">
      <c r="A28" s="9" t="s">
        <v>322</v>
      </c>
      <c r="B28" s="9" t="s">
        <v>323</v>
      </c>
      <c r="C28" s="9" t="s">
        <v>242</v>
      </c>
      <c r="D28" s="10">
        <v>8.0</v>
      </c>
      <c r="E28" s="12" t="s">
        <v>13</v>
      </c>
      <c r="F28" s="9" t="s">
        <v>14</v>
      </c>
      <c r="G28" s="9" t="s">
        <v>15</v>
      </c>
      <c r="H28" s="10">
        <v>1065.0</v>
      </c>
      <c r="I28" s="9" t="s">
        <v>16</v>
      </c>
      <c r="J28" s="11">
        <v>45889.0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2.5" customHeight="1">
      <c r="A29" s="9" t="s">
        <v>470</v>
      </c>
      <c r="B29" s="9" t="s">
        <v>471</v>
      </c>
      <c r="C29" s="9" t="s">
        <v>472</v>
      </c>
      <c r="D29" s="10">
        <v>7.0</v>
      </c>
      <c r="E29" s="12" t="s">
        <v>13</v>
      </c>
      <c r="F29" s="9" t="s">
        <v>14</v>
      </c>
      <c r="G29" s="9" t="s">
        <v>15</v>
      </c>
      <c r="H29" s="10">
        <v>1065.0</v>
      </c>
      <c r="I29" s="9" t="s">
        <v>16</v>
      </c>
      <c r="J29" s="11">
        <v>45889.0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2.5" customHeight="1">
      <c r="A30" s="9" t="s">
        <v>473</v>
      </c>
      <c r="B30" s="9" t="s">
        <v>333</v>
      </c>
      <c r="C30" s="9" t="s">
        <v>474</v>
      </c>
      <c r="D30" s="10">
        <v>7.0</v>
      </c>
      <c r="E30" s="12" t="s">
        <v>20</v>
      </c>
      <c r="F30" s="9" t="s">
        <v>14</v>
      </c>
      <c r="G30" s="9" t="s">
        <v>15</v>
      </c>
      <c r="H30" s="10">
        <v>1065.0</v>
      </c>
      <c r="I30" s="9" t="s">
        <v>16</v>
      </c>
      <c r="J30" s="11">
        <v>45889.0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2.5" customHeight="1">
      <c r="A31" s="9" t="s">
        <v>475</v>
      </c>
      <c r="B31" s="9" t="s">
        <v>476</v>
      </c>
      <c r="C31" s="9" t="s">
        <v>45</v>
      </c>
      <c r="D31" s="10">
        <v>7.0</v>
      </c>
      <c r="E31" s="12" t="s">
        <v>13</v>
      </c>
      <c r="F31" s="9" t="s">
        <v>14</v>
      </c>
      <c r="G31" s="9" t="s">
        <v>15</v>
      </c>
      <c r="H31" s="10">
        <v>1064.0</v>
      </c>
      <c r="I31" s="9" t="s">
        <v>16</v>
      </c>
      <c r="J31" s="11">
        <v>45889.0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2.5" customHeight="1">
      <c r="A32" s="9" t="s">
        <v>343</v>
      </c>
      <c r="B32" s="9" t="s">
        <v>344</v>
      </c>
      <c r="C32" s="9" t="s">
        <v>345</v>
      </c>
      <c r="D32" s="10">
        <v>8.0</v>
      </c>
      <c r="E32" s="12" t="s">
        <v>13</v>
      </c>
      <c r="F32" s="9" t="s">
        <v>39</v>
      </c>
      <c r="G32" s="9" t="s">
        <v>15</v>
      </c>
      <c r="H32" s="10">
        <v>1065.0</v>
      </c>
      <c r="I32" s="9" t="s">
        <v>16</v>
      </c>
      <c r="J32" s="11">
        <v>45889.0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2.5" customHeight="1">
      <c r="A33" s="9" t="s">
        <v>477</v>
      </c>
      <c r="B33" s="9" t="s">
        <v>478</v>
      </c>
      <c r="C33" s="9" t="s">
        <v>479</v>
      </c>
      <c r="D33" s="10">
        <v>8.0</v>
      </c>
      <c r="E33" s="12" t="s">
        <v>13</v>
      </c>
      <c r="F33" s="9" t="s">
        <v>39</v>
      </c>
      <c r="G33" s="9" t="s">
        <v>118</v>
      </c>
      <c r="H33" s="10">
        <v>1064.0</v>
      </c>
      <c r="I33" s="9" t="s">
        <v>16</v>
      </c>
      <c r="J33" s="11">
        <v>45889.0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2.5" customHeight="1">
      <c r="A34" s="9" t="s">
        <v>480</v>
      </c>
      <c r="B34" s="9" t="s">
        <v>481</v>
      </c>
      <c r="C34" s="9" t="s">
        <v>482</v>
      </c>
      <c r="D34" s="10">
        <v>8.0</v>
      </c>
      <c r="E34" s="12" t="s">
        <v>20</v>
      </c>
      <c r="F34" s="9" t="s">
        <v>14</v>
      </c>
      <c r="G34" s="9" t="s">
        <v>15</v>
      </c>
      <c r="H34" s="10">
        <v>1064.0</v>
      </c>
      <c r="I34" s="9" t="s">
        <v>16</v>
      </c>
      <c r="J34" s="11">
        <v>45889.0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2.5" customHeight="1">
      <c r="A35" s="9" t="s">
        <v>354</v>
      </c>
      <c r="B35" s="9" t="s">
        <v>355</v>
      </c>
      <c r="C35" s="9" t="s">
        <v>356</v>
      </c>
      <c r="D35" s="10">
        <v>8.0</v>
      </c>
      <c r="E35" s="12" t="s">
        <v>20</v>
      </c>
      <c r="F35" s="9" t="s">
        <v>39</v>
      </c>
      <c r="G35" s="9" t="s">
        <v>301</v>
      </c>
      <c r="H35" s="10">
        <v>1065.0</v>
      </c>
      <c r="I35" s="9" t="s">
        <v>16</v>
      </c>
      <c r="J35" s="11">
        <v>45889.0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2.5" customHeight="1">
      <c r="A36" s="9" t="s">
        <v>357</v>
      </c>
      <c r="B36" s="9" t="s">
        <v>358</v>
      </c>
      <c r="C36" s="9" t="s">
        <v>146</v>
      </c>
      <c r="D36" s="10">
        <v>8.0</v>
      </c>
      <c r="E36" s="12" t="s">
        <v>20</v>
      </c>
      <c r="F36" s="9" t="s">
        <v>14</v>
      </c>
      <c r="G36" s="9" t="s">
        <v>15</v>
      </c>
      <c r="H36" s="10">
        <v>1065.0</v>
      </c>
      <c r="I36" s="9" t="s">
        <v>16</v>
      </c>
      <c r="J36" s="11">
        <v>45889.0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2.5" customHeight="1">
      <c r="A37" s="9" t="s">
        <v>483</v>
      </c>
      <c r="B37" s="9" t="s">
        <v>484</v>
      </c>
      <c r="C37" s="9" t="s">
        <v>485</v>
      </c>
      <c r="D37" s="10">
        <v>8.0</v>
      </c>
      <c r="E37" s="12" t="s">
        <v>13</v>
      </c>
      <c r="F37" s="9" t="s">
        <v>14</v>
      </c>
      <c r="G37" s="9" t="s">
        <v>15</v>
      </c>
      <c r="H37" s="10">
        <v>1065.0</v>
      </c>
      <c r="I37" s="9" t="s">
        <v>16</v>
      </c>
      <c r="J37" s="11">
        <v>45889.0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2.5" customHeight="1">
      <c r="A38" s="9" t="s">
        <v>486</v>
      </c>
      <c r="B38" s="9" t="s">
        <v>75</v>
      </c>
      <c r="C38" s="9" t="s">
        <v>487</v>
      </c>
      <c r="D38" s="10">
        <v>8.0</v>
      </c>
      <c r="E38" s="12" t="s">
        <v>13</v>
      </c>
      <c r="F38" s="9" t="s">
        <v>14</v>
      </c>
      <c r="G38" s="9" t="s">
        <v>77</v>
      </c>
      <c r="H38" s="10">
        <v>1064.0</v>
      </c>
      <c r="I38" s="9" t="s">
        <v>16</v>
      </c>
      <c r="J38" s="11">
        <v>45889.0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2.5" customHeight="1">
      <c r="A39" s="9" t="s">
        <v>361</v>
      </c>
      <c r="B39" s="9" t="s">
        <v>362</v>
      </c>
      <c r="C39" s="9" t="s">
        <v>251</v>
      </c>
      <c r="D39" s="10">
        <v>8.0</v>
      </c>
      <c r="E39" s="12" t="s">
        <v>20</v>
      </c>
      <c r="F39" s="9" t="s">
        <v>14</v>
      </c>
      <c r="G39" s="9" t="s">
        <v>15</v>
      </c>
      <c r="H39" s="10">
        <v>1064.0</v>
      </c>
      <c r="I39" s="9" t="s">
        <v>16</v>
      </c>
      <c r="J39" s="11">
        <v>45889.0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2.5" customHeight="1">
      <c r="A40" s="9" t="s">
        <v>488</v>
      </c>
      <c r="B40" s="9" t="s">
        <v>489</v>
      </c>
      <c r="C40" s="9" t="s">
        <v>490</v>
      </c>
      <c r="D40" s="10">
        <v>7.0</v>
      </c>
      <c r="E40" s="12" t="s">
        <v>13</v>
      </c>
      <c r="F40" s="9" t="s">
        <v>14</v>
      </c>
      <c r="G40" s="9" t="s">
        <v>15</v>
      </c>
      <c r="H40" s="10">
        <v>1065.0</v>
      </c>
      <c r="I40" s="9" t="s">
        <v>16</v>
      </c>
      <c r="J40" s="11">
        <v>45889.0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2.5" customHeight="1">
      <c r="A41" s="9" t="s">
        <v>491</v>
      </c>
      <c r="B41" s="9" t="s">
        <v>492</v>
      </c>
      <c r="C41" s="9" t="s">
        <v>493</v>
      </c>
      <c r="D41" s="10">
        <v>8.0</v>
      </c>
      <c r="E41" s="12" t="s">
        <v>20</v>
      </c>
      <c r="F41" s="9" t="s">
        <v>14</v>
      </c>
      <c r="G41" s="9" t="s">
        <v>15</v>
      </c>
      <c r="H41" s="10">
        <v>1065.0</v>
      </c>
      <c r="I41" s="9" t="s">
        <v>16</v>
      </c>
      <c r="J41" s="11">
        <v>45889.0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2.5" customHeight="1">
      <c r="A42" s="9" t="s">
        <v>494</v>
      </c>
      <c r="B42" s="9" t="s">
        <v>364</v>
      </c>
      <c r="C42" s="9" t="s">
        <v>262</v>
      </c>
      <c r="D42" s="10">
        <v>8.0</v>
      </c>
      <c r="E42" s="12" t="s">
        <v>20</v>
      </c>
      <c r="F42" s="9" t="s">
        <v>14</v>
      </c>
      <c r="G42" s="9" t="s">
        <v>15</v>
      </c>
      <c r="H42" s="10">
        <v>1064.0</v>
      </c>
      <c r="I42" s="9" t="s">
        <v>16</v>
      </c>
      <c r="J42" s="11">
        <v>45889.0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2.5" customHeight="1">
      <c r="A43" s="9" t="s">
        <v>366</v>
      </c>
      <c r="B43" s="9" t="s">
        <v>367</v>
      </c>
      <c r="C43" s="9" t="s">
        <v>368</v>
      </c>
      <c r="D43" s="10">
        <v>8.0</v>
      </c>
      <c r="E43" s="12" t="s">
        <v>13</v>
      </c>
      <c r="F43" s="9" t="s">
        <v>14</v>
      </c>
      <c r="G43" s="9" t="s">
        <v>15</v>
      </c>
      <c r="H43" s="10">
        <v>1065.0</v>
      </c>
      <c r="I43" s="9" t="s">
        <v>16</v>
      </c>
      <c r="J43" s="11">
        <v>45889.0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2.5" customHeight="1">
      <c r="A44" s="9" t="s">
        <v>495</v>
      </c>
      <c r="B44" s="9" t="s">
        <v>496</v>
      </c>
      <c r="C44" s="9" t="s">
        <v>401</v>
      </c>
      <c r="D44" s="10">
        <v>7.0</v>
      </c>
      <c r="E44" s="12" t="s">
        <v>13</v>
      </c>
      <c r="F44" s="9" t="s">
        <v>14</v>
      </c>
      <c r="G44" s="9" t="s">
        <v>15</v>
      </c>
      <c r="H44" s="10">
        <v>1064.0</v>
      </c>
      <c r="I44" s="9" t="s">
        <v>16</v>
      </c>
      <c r="J44" s="11">
        <v>45889.0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2.5" customHeight="1">
      <c r="A45" s="9" t="s">
        <v>497</v>
      </c>
      <c r="B45" s="9" t="s">
        <v>498</v>
      </c>
      <c r="C45" s="9" t="s">
        <v>487</v>
      </c>
      <c r="D45" s="10">
        <v>8.0</v>
      </c>
      <c r="E45" s="12" t="s">
        <v>13</v>
      </c>
      <c r="F45" s="9" t="s">
        <v>14</v>
      </c>
      <c r="G45" s="9" t="s">
        <v>15</v>
      </c>
      <c r="H45" s="10">
        <v>1064.0</v>
      </c>
      <c r="I45" s="9" t="s">
        <v>16</v>
      </c>
      <c r="J45" s="11">
        <v>45889.0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2.5" customHeight="1">
      <c r="A46" s="9" t="s">
        <v>369</v>
      </c>
      <c r="B46" s="9" t="s">
        <v>370</v>
      </c>
      <c r="C46" s="9" t="s">
        <v>371</v>
      </c>
      <c r="D46" s="10">
        <v>8.0</v>
      </c>
      <c r="E46" s="12" t="s">
        <v>20</v>
      </c>
      <c r="F46" s="9" t="s">
        <v>14</v>
      </c>
      <c r="G46" s="9" t="s">
        <v>15</v>
      </c>
      <c r="H46" s="10">
        <v>1064.0</v>
      </c>
      <c r="I46" s="9" t="s">
        <v>16</v>
      </c>
      <c r="J46" s="11">
        <v>45889.0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2.5" customHeight="1">
      <c r="A47" s="9" t="s">
        <v>372</v>
      </c>
      <c r="B47" s="9" t="s">
        <v>373</v>
      </c>
      <c r="C47" s="9" t="s">
        <v>374</v>
      </c>
      <c r="D47" s="10">
        <v>8.0</v>
      </c>
      <c r="E47" s="12" t="s">
        <v>13</v>
      </c>
      <c r="F47" s="9" t="s">
        <v>14</v>
      </c>
      <c r="G47" s="9" t="s">
        <v>15</v>
      </c>
      <c r="H47" s="10">
        <v>1065.0</v>
      </c>
      <c r="I47" s="9" t="s">
        <v>16</v>
      </c>
      <c r="J47" s="11">
        <v>45889.0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2.5" customHeight="1">
      <c r="A48" s="9" t="s">
        <v>375</v>
      </c>
      <c r="B48" s="9" t="s">
        <v>376</v>
      </c>
      <c r="C48" s="9" t="s">
        <v>377</v>
      </c>
      <c r="D48" s="10">
        <v>8.0</v>
      </c>
      <c r="E48" s="12" t="s">
        <v>13</v>
      </c>
      <c r="F48" s="9" t="s">
        <v>14</v>
      </c>
      <c r="G48" s="9" t="s">
        <v>15</v>
      </c>
      <c r="H48" s="10">
        <v>1064.0</v>
      </c>
      <c r="I48" s="9" t="s">
        <v>16</v>
      </c>
      <c r="J48" s="11">
        <v>45889.0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2.5" customHeight="1">
      <c r="A49" s="9" t="s">
        <v>499</v>
      </c>
      <c r="B49" s="9" t="s">
        <v>500</v>
      </c>
      <c r="C49" s="9" t="s">
        <v>501</v>
      </c>
      <c r="D49" s="10">
        <v>7.0</v>
      </c>
      <c r="E49" s="12" t="s">
        <v>20</v>
      </c>
      <c r="F49" s="9" t="s">
        <v>39</v>
      </c>
      <c r="G49" s="9" t="s">
        <v>15</v>
      </c>
      <c r="H49" s="10">
        <v>1065.0</v>
      </c>
      <c r="I49" s="9" t="s">
        <v>16</v>
      </c>
      <c r="J49" s="11">
        <v>45889.0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2.5" customHeight="1">
      <c r="A50" s="9" t="s">
        <v>502</v>
      </c>
      <c r="B50" s="9" t="s">
        <v>175</v>
      </c>
      <c r="C50" s="9" t="s">
        <v>503</v>
      </c>
      <c r="D50" s="10">
        <v>7.0</v>
      </c>
      <c r="E50" s="12" t="s">
        <v>13</v>
      </c>
      <c r="F50" s="9" t="s">
        <v>14</v>
      </c>
      <c r="G50" s="9" t="s">
        <v>15</v>
      </c>
      <c r="H50" s="10">
        <v>1064.0</v>
      </c>
      <c r="I50" s="9" t="s">
        <v>16</v>
      </c>
      <c r="J50" s="11">
        <v>45889.0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2.5" customHeight="1">
      <c r="A51" s="9" t="s">
        <v>504</v>
      </c>
      <c r="B51" s="9" t="s">
        <v>382</v>
      </c>
      <c r="C51" s="9" t="s">
        <v>505</v>
      </c>
      <c r="D51" s="10">
        <v>7.0</v>
      </c>
      <c r="E51" s="12" t="s">
        <v>20</v>
      </c>
      <c r="F51" s="9" t="s">
        <v>39</v>
      </c>
      <c r="G51" s="9" t="s">
        <v>15</v>
      </c>
      <c r="H51" s="10">
        <v>1065.0</v>
      </c>
      <c r="I51" s="9" t="s">
        <v>16</v>
      </c>
      <c r="J51" s="11">
        <v>45889.0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2.5" customHeight="1">
      <c r="A52" s="9" t="s">
        <v>506</v>
      </c>
      <c r="B52" s="9" t="s">
        <v>507</v>
      </c>
      <c r="C52" s="9" t="s">
        <v>508</v>
      </c>
      <c r="D52" s="10">
        <v>8.0</v>
      </c>
      <c r="E52" s="12" t="s">
        <v>13</v>
      </c>
      <c r="F52" s="9" t="s">
        <v>14</v>
      </c>
      <c r="G52" s="9" t="s">
        <v>15</v>
      </c>
      <c r="H52" s="10">
        <v>1065.0</v>
      </c>
      <c r="I52" s="9" t="s">
        <v>16</v>
      </c>
      <c r="J52" s="11">
        <v>45889.0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2.5" customHeight="1">
      <c r="A53" s="9" t="s">
        <v>509</v>
      </c>
      <c r="B53" s="9" t="s">
        <v>510</v>
      </c>
      <c r="C53" s="9" t="s">
        <v>511</v>
      </c>
      <c r="D53" s="10">
        <v>8.0</v>
      </c>
      <c r="E53" s="12" t="s">
        <v>20</v>
      </c>
      <c r="F53" s="9" t="s">
        <v>14</v>
      </c>
      <c r="G53" s="9" t="s">
        <v>15</v>
      </c>
      <c r="H53" s="10">
        <v>1065.0</v>
      </c>
      <c r="I53" s="9" t="s">
        <v>16</v>
      </c>
      <c r="J53" s="11">
        <v>45889.0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2.5" customHeight="1">
      <c r="A54" s="9" t="s">
        <v>393</v>
      </c>
      <c r="B54" s="9" t="s">
        <v>394</v>
      </c>
      <c r="C54" s="9" t="s">
        <v>395</v>
      </c>
      <c r="D54" s="10">
        <v>8.0</v>
      </c>
      <c r="E54" s="12" t="s">
        <v>13</v>
      </c>
      <c r="F54" s="9" t="s">
        <v>14</v>
      </c>
      <c r="G54" s="9" t="s">
        <v>15</v>
      </c>
      <c r="H54" s="10">
        <v>1065.0</v>
      </c>
      <c r="I54" s="9" t="s">
        <v>16</v>
      </c>
      <c r="J54" s="11">
        <v>45889.0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2.5" customHeight="1">
      <c r="A55" s="9" t="s">
        <v>512</v>
      </c>
      <c r="B55" s="9" t="s">
        <v>513</v>
      </c>
      <c r="C55" s="9" t="s">
        <v>514</v>
      </c>
      <c r="D55" s="10">
        <v>8.0</v>
      </c>
      <c r="E55" s="12" t="s">
        <v>13</v>
      </c>
      <c r="F55" s="9" t="s">
        <v>14</v>
      </c>
      <c r="G55" s="9" t="s">
        <v>15</v>
      </c>
      <c r="H55" s="10">
        <v>1064.0</v>
      </c>
      <c r="I55" s="9" t="s">
        <v>16</v>
      </c>
      <c r="J55" s="11">
        <v>45889.0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2.5" customHeight="1">
      <c r="A56" s="9" t="s">
        <v>515</v>
      </c>
      <c r="B56" s="9" t="s">
        <v>516</v>
      </c>
      <c r="C56" s="9" t="s">
        <v>517</v>
      </c>
      <c r="D56" s="10">
        <v>8.0</v>
      </c>
      <c r="E56" s="12" t="s">
        <v>20</v>
      </c>
      <c r="F56" s="9" t="s">
        <v>14</v>
      </c>
      <c r="G56" s="9" t="s">
        <v>15</v>
      </c>
      <c r="H56" s="10">
        <v>1064.0</v>
      </c>
      <c r="I56" s="9" t="s">
        <v>16</v>
      </c>
      <c r="J56" s="11">
        <v>45889.0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2.5" customHeight="1">
      <c r="A57" s="9" t="s">
        <v>518</v>
      </c>
      <c r="B57" s="9" t="s">
        <v>397</v>
      </c>
      <c r="C57" s="9" t="s">
        <v>519</v>
      </c>
      <c r="D57" s="10">
        <v>7.0</v>
      </c>
      <c r="E57" s="12" t="s">
        <v>20</v>
      </c>
      <c r="F57" s="9" t="s">
        <v>14</v>
      </c>
      <c r="G57" s="9" t="s">
        <v>15</v>
      </c>
      <c r="H57" s="10">
        <v>1064.0</v>
      </c>
      <c r="I57" s="9" t="s">
        <v>16</v>
      </c>
      <c r="J57" s="11">
        <v>45889.0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2.5" customHeight="1">
      <c r="A58" s="9" t="s">
        <v>520</v>
      </c>
      <c r="B58" s="9" t="s">
        <v>521</v>
      </c>
      <c r="C58" s="9" t="s">
        <v>522</v>
      </c>
      <c r="D58" s="10">
        <v>7.0</v>
      </c>
      <c r="E58" s="12" t="s">
        <v>13</v>
      </c>
      <c r="F58" s="9" t="s">
        <v>14</v>
      </c>
      <c r="G58" s="9" t="s">
        <v>27</v>
      </c>
      <c r="H58" s="10">
        <v>1065.0</v>
      </c>
      <c r="I58" s="9" t="s">
        <v>16</v>
      </c>
      <c r="J58" s="11">
        <v>45889.0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2.5" customHeight="1">
      <c r="A59" s="9" t="s">
        <v>523</v>
      </c>
      <c r="B59" s="9" t="s">
        <v>253</v>
      </c>
      <c r="C59" s="9" t="s">
        <v>524</v>
      </c>
      <c r="D59" s="10">
        <v>7.0</v>
      </c>
      <c r="E59" s="12" t="s">
        <v>13</v>
      </c>
      <c r="F59" s="9" t="s">
        <v>14</v>
      </c>
      <c r="G59" s="9" t="s">
        <v>15</v>
      </c>
      <c r="H59" s="10">
        <v>1065.0</v>
      </c>
      <c r="I59" s="9" t="s">
        <v>16</v>
      </c>
      <c r="J59" s="11">
        <v>45889.0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2.5" customHeight="1">
      <c r="A60" s="9" t="s">
        <v>399</v>
      </c>
      <c r="B60" s="9" t="s">
        <v>400</v>
      </c>
      <c r="C60" s="9" t="s">
        <v>401</v>
      </c>
      <c r="D60" s="10">
        <v>8.0</v>
      </c>
      <c r="E60" s="12" t="s">
        <v>13</v>
      </c>
      <c r="F60" s="9" t="s">
        <v>14</v>
      </c>
      <c r="G60" s="9" t="s">
        <v>15</v>
      </c>
      <c r="H60" s="10">
        <v>1064.0</v>
      </c>
      <c r="I60" s="9" t="s">
        <v>16</v>
      </c>
      <c r="J60" s="11">
        <v>45889.0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2.5" customHeight="1">
      <c r="A61" s="9" t="s">
        <v>525</v>
      </c>
      <c r="B61" s="9" t="s">
        <v>258</v>
      </c>
      <c r="C61" s="9" t="s">
        <v>146</v>
      </c>
      <c r="D61" s="10">
        <v>7.0</v>
      </c>
      <c r="E61" s="12" t="s">
        <v>20</v>
      </c>
      <c r="F61" s="9" t="s">
        <v>14</v>
      </c>
      <c r="G61" s="9" t="s">
        <v>15</v>
      </c>
      <c r="H61" s="10">
        <v>1064.0</v>
      </c>
      <c r="I61" s="9" t="s">
        <v>16</v>
      </c>
      <c r="J61" s="11">
        <v>45889.0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2.5" customHeight="1">
      <c r="A62" s="9" t="s">
        <v>526</v>
      </c>
      <c r="B62" s="9" t="s">
        <v>527</v>
      </c>
      <c r="C62" s="9" t="s">
        <v>528</v>
      </c>
      <c r="D62" s="10">
        <v>8.0</v>
      </c>
      <c r="E62" s="12" t="s">
        <v>13</v>
      </c>
      <c r="F62" s="9" t="s">
        <v>14</v>
      </c>
      <c r="G62" s="9" t="s">
        <v>15</v>
      </c>
      <c r="H62" s="10">
        <v>1065.0</v>
      </c>
      <c r="I62" s="9" t="s">
        <v>16</v>
      </c>
      <c r="J62" s="11">
        <v>45889.0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2.5" customHeight="1">
      <c r="A63" s="9" t="s">
        <v>402</v>
      </c>
      <c r="B63" s="9" t="s">
        <v>403</v>
      </c>
      <c r="C63" s="9" t="s">
        <v>135</v>
      </c>
      <c r="D63" s="10">
        <v>8.0</v>
      </c>
      <c r="E63" s="12" t="s">
        <v>13</v>
      </c>
      <c r="F63" s="9" t="s">
        <v>14</v>
      </c>
      <c r="G63" s="9" t="s">
        <v>15</v>
      </c>
      <c r="H63" s="10">
        <v>1064.0</v>
      </c>
      <c r="I63" s="9" t="s">
        <v>16</v>
      </c>
      <c r="J63" s="11">
        <v>45889.0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2.5" customHeight="1">
      <c r="A64" s="9" t="s">
        <v>529</v>
      </c>
      <c r="B64" s="9" t="s">
        <v>530</v>
      </c>
      <c r="C64" s="9" t="s">
        <v>531</v>
      </c>
      <c r="D64" s="10">
        <v>7.0</v>
      </c>
      <c r="E64" s="12" t="s">
        <v>20</v>
      </c>
      <c r="F64" s="9" t="s">
        <v>14</v>
      </c>
      <c r="G64" s="9" t="s">
        <v>15</v>
      </c>
      <c r="H64" s="10">
        <v>1065.0</v>
      </c>
      <c r="I64" s="9" t="s">
        <v>16</v>
      </c>
      <c r="J64" s="11">
        <v>45889.0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2.5" customHeight="1">
      <c r="A65" s="9" t="s">
        <v>532</v>
      </c>
      <c r="B65" s="9" t="s">
        <v>533</v>
      </c>
      <c r="C65" s="9" t="s">
        <v>534</v>
      </c>
      <c r="D65" s="10">
        <v>8.0</v>
      </c>
      <c r="E65" s="12" t="s">
        <v>20</v>
      </c>
      <c r="F65" s="9" t="s">
        <v>14</v>
      </c>
      <c r="G65" s="9" t="s">
        <v>15</v>
      </c>
      <c r="H65" s="10">
        <v>1065.0</v>
      </c>
      <c r="I65" s="9" t="s">
        <v>16</v>
      </c>
      <c r="J65" s="11">
        <v>45889.0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2.5" customHeight="1">
      <c r="A66" s="9" t="s">
        <v>407</v>
      </c>
      <c r="B66" s="9" t="s">
        <v>408</v>
      </c>
      <c r="C66" s="9" t="s">
        <v>409</v>
      </c>
      <c r="D66" s="10">
        <v>8.0</v>
      </c>
      <c r="E66" s="12" t="s">
        <v>20</v>
      </c>
      <c r="F66" s="9" t="s">
        <v>14</v>
      </c>
      <c r="G66" s="9" t="s">
        <v>27</v>
      </c>
      <c r="H66" s="10">
        <v>1064.0</v>
      </c>
      <c r="I66" s="9" t="s">
        <v>16</v>
      </c>
      <c r="J66" s="11">
        <v>45889.0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2.5" customHeight="1">
      <c r="A67" s="9" t="s">
        <v>535</v>
      </c>
      <c r="B67" s="9" t="s">
        <v>536</v>
      </c>
      <c r="C67" s="9" t="s">
        <v>537</v>
      </c>
      <c r="D67" s="10">
        <v>7.0</v>
      </c>
      <c r="E67" s="12" t="s">
        <v>20</v>
      </c>
      <c r="F67" s="9" t="s">
        <v>39</v>
      </c>
      <c r="G67" s="9" t="s">
        <v>15</v>
      </c>
      <c r="H67" s="10">
        <v>1064.0</v>
      </c>
      <c r="I67" s="9" t="s">
        <v>16</v>
      </c>
      <c r="J67" s="11">
        <v>45889.0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custom" allowBlank="1" showDropDown="1" sqref="J2:J67">
      <formula1>OR(NOT(ISERROR(DATEVALUE(J2))), AND(ISNUMBER(J2), LEFT(CELL("format", J2))="D"))</formula1>
    </dataValidation>
    <dataValidation type="list" allowBlank="1" showDropDown="1" showErrorMessage="1" sqref="E2:E67">
      <formula1>"F,M"</formula1>
    </dataValidation>
    <dataValidation type="custom" allowBlank="1" showDropDown="1" sqref="D2:D67 H2:H67">
      <formula1>AND(ISNUMBER(D2),(NOT(OR(NOT(ISERROR(DATEVALUE(D2))), AND(ISNUMBER(D2), LEFT(CELL("format", D2))="D")))))</formula1>
    </dataValidation>
    <dataValidation allowBlank="1" showDropDown="1" sqref="A2:C67 F2:G67 I2:I67"/>
  </dataValidations>
  <drawing r:id="rId1"/>
  <tableParts count="1">
    <tablePart r:id="rId3"/>
  </tableParts>
</worksheet>
</file>