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ster Data" sheetId="1" r:id="rId5"/>
    <sheet state="visible" name="23-24" sheetId="2" r:id="rId6"/>
    <sheet state="visible" name="24-25" sheetId="3" r:id="rId7"/>
    <sheet state="visible" name="25-26" sheetId="4" r:id="rId8"/>
  </sheets>
  <definedNames/>
  <calcPr/>
</workbook>
</file>

<file path=xl/sharedStrings.xml><?xml version="1.0" encoding="utf-8"?>
<sst xmlns="http://schemas.openxmlformats.org/spreadsheetml/2006/main" count="1398" uniqueCount="336">
  <si>
    <t>State Student ID</t>
  </si>
  <si>
    <t>Last Name</t>
  </si>
  <si>
    <t>First Name</t>
  </si>
  <si>
    <t>Grade</t>
  </si>
  <si>
    <t>Sex</t>
  </si>
  <si>
    <t>Description_STU_ETH</t>
  </si>
  <si>
    <t>Description_STU_RC1</t>
  </si>
  <si>
    <t>Section#</t>
  </si>
  <si>
    <t>Course ID</t>
  </si>
  <si>
    <t>Academic Year</t>
  </si>
  <si>
    <t>4976887454</t>
  </si>
  <si>
    <t>Alarcon</t>
  </si>
  <si>
    <t>Tyler</t>
  </si>
  <si>
    <t>M</t>
  </si>
  <si>
    <t>Yes, Hispanic or Latino</t>
  </si>
  <si>
    <t>White</t>
  </si>
  <si>
    <t>000308</t>
  </si>
  <si>
    <t>23-24</t>
  </si>
  <si>
    <t>4680924726</t>
  </si>
  <si>
    <t>Almallah</t>
  </si>
  <si>
    <t>Zyad</t>
  </si>
  <si>
    <t>No, not Hispanic or Latino</t>
  </si>
  <si>
    <t>8714704781</t>
  </si>
  <si>
    <t>Arebalo</t>
  </si>
  <si>
    <t>Lauren</t>
  </si>
  <si>
    <t>F</t>
  </si>
  <si>
    <t>2679815812</t>
  </si>
  <si>
    <t>Attri</t>
  </si>
  <si>
    <t>Jayshan</t>
  </si>
  <si>
    <t>Asian Indian</t>
  </si>
  <si>
    <t>4187077288</t>
  </si>
  <si>
    <t>Brown</t>
  </si>
  <si>
    <t>Ryan</t>
  </si>
  <si>
    <t>4390212071</t>
  </si>
  <si>
    <t>Burgon</t>
  </si>
  <si>
    <t>Jane</t>
  </si>
  <si>
    <t>7513702492</t>
  </si>
  <si>
    <t>Campo</t>
  </si>
  <si>
    <t>Lucia</t>
  </si>
  <si>
    <t>Chinese</t>
  </si>
  <si>
    <t>7420262084</t>
  </si>
  <si>
    <t>Canellos</t>
  </si>
  <si>
    <t>Dregen</t>
  </si>
  <si>
    <t>5026302371</t>
  </si>
  <si>
    <t>Carroll</t>
  </si>
  <si>
    <t>Sonia</t>
  </si>
  <si>
    <t>7546451130</t>
  </si>
  <si>
    <t>Case</t>
  </si>
  <si>
    <t>1155716774</t>
  </si>
  <si>
    <t>Chance</t>
  </si>
  <si>
    <t>Hiro</t>
  </si>
  <si>
    <t>Japanese</t>
  </si>
  <si>
    <t>1629553476</t>
  </si>
  <si>
    <t>Chaudhuri</t>
  </si>
  <si>
    <t>Rayna</t>
  </si>
  <si>
    <t>6311816831</t>
  </si>
  <si>
    <t>Cox</t>
  </si>
  <si>
    <t>Noah</t>
  </si>
  <si>
    <t>7646139988</t>
  </si>
  <si>
    <t>Denmark</t>
  </si>
  <si>
    <t>Emma</t>
  </si>
  <si>
    <t>8451629460</t>
  </si>
  <si>
    <t>Dusinski</t>
  </si>
  <si>
    <t>Ian</t>
  </si>
  <si>
    <t>7095756003</t>
  </si>
  <si>
    <t>Evens</t>
  </si>
  <si>
    <t>Nathaniel</t>
  </si>
  <si>
    <t>1008364173</t>
  </si>
  <si>
    <t>Fuette</t>
  </si>
  <si>
    <t>Isla</t>
  </si>
  <si>
    <t>Filipino</t>
  </si>
  <si>
    <t>5518141154</t>
  </si>
  <si>
    <t>Gan</t>
  </si>
  <si>
    <t>Tina</t>
  </si>
  <si>
    <t>7076633951</t>
  </si>
  <si>
    <t>Ganorkar</t>
  </si>
  <si>
    <t>Madhukar</t>
  </si>
  <si>
    <t>9607691913</t>
  </si>
  <si>
    <t>Gazanchiyants</t>
  </si>
  <si>
    <t>Lukyan</t>
  </si>
  <si>
    <t>7947451743</t>
  </si>
  <si>
    <t>Gray</t>
  </si>
  <si>
    <t>Lincoln</t>
  </si>
  <si>
    <t>6651159524</t>
  </si>
  <si>
    <t>Grinchenko</t>
  </si>
  <si>
    <t>Vadim</t>
  </si>
  <si>
    <t>5998181872</t>
  </si>
  <si>
    <t>Hadden</t>
  </si>
  <si>
    <t>Emilio</t>
  </si>
  <si>
    <t>7510316602</t>
  </si>
  <si>
    <t>Hamelin</t>
  </si>
  <si>
    <t>Mei</t>
  </si>
  <si>
    <t>8622758744</t>
  </si>
  <si>
    <t>Henry</t>
  </si>
  <si>
    <t>Ayla</t>
  </si>
  <si>
    <t>2284886968</t>
  </si>
  <si>
    <t>Iyer</t>
  </si>
  <si>
    <t>Bodhi</t>
  </si>
  <si>
    <t>7187902255</t>
  </si>
  <si>
    <t>Kemp</t>
  </si>
  <si>
    <t>Midori</t>
  </si>
  <si>
    <t>4592007854</t>
  </si>
  <si>
    <t>Kurlan</t>
  </si>
  <si>
    <t>Sophie</t>
  </si>
  <si>
    <t>8253743747</t>
  </si>
  <si>
    <t>Lendler</t>
  </si>
  <si>
    <t>Dylan</t>
  </si>
  <si>
    <t>9420870150</t>
  </si>
  <si>
    <t>Levy</t>
  </si>
  <si>
    <t>Gabrian</t>
  </si>
  <si>
    <t>5924738867</t>
  </si>
  <si>
    <t>Lewis</t>
  </si>
  <si>
    <t>5609329503</t>
  </si>
  <si>
    <t>Liu</t>
  </si>
  <si>
    <t>Narissa</t>
  </si>
  <si>
    <t>4762852648</t>
  </si>
  <si>
    <t>Ma</t>
  </si>
  <si>
    <t>Joseph</t>
  </si>
  <si>
    <t>2369426477</t>
  </si>
  <si>
    <t>Marin</t>
  </si>
  <si>
    <t>Ava</t>
  </si>
  <si>
    <t>2007195491</t>
  </si>
  <si>
    <t>Marsh</t>
  </si>
  <si>
    <t>Maddox</t>
  </si>
  <si>
    <t>7068776286</t>
  </si>
  <si>
    <t>Matthies</t>
  </si>
  <si>
    <t>Lilian</t>
  </si>
  <si>
    <t>4779788275</t>
  </si>
  <si>
    <t>Meneau</t>
  </si>
  <si>
    <t>Charles</t>
  </si>
  <si>
    <t>5146216229</t>
  </si>
  <si>
    <t>Minnich</t>
  </si>
  <si>
    <t>Ethan</t>
  </si>
  <si>
    <t>2956524748</t>
  </si>
  <si>
    <t>Molloy</t>
  </si>
  <si>
    <t>Daniel</t>
  </si>
  <si>
    <t>Samoan</t>
  </si>
  <si>
    <t>5180354324</t>
  </si>
  <si>
    <t>Moshashaee</t>
  </si>
  <si>
    <t>Deanna</t>
  </si>
  <si>
    <t>3580952174</t>
  </si>
  <si>
    <t>Namburu</t>
  </si>
  <si>
    <t>Sahiti</t>
  </si>
  <si>
    <t>7951262332</t>
  </si>
  <si>
    <t>Newhoff</t>
  </si>
  <si>
    <t>Charlie</t>
  </si>
  <si>
    <t>Black or African American</t>
  </si>
  <si>
    <t>1691476558</t>
  </si>
  <si>
    <t>Nguyen</t>
  </si>
  <si>
    <t>Camden</t>
  </si>
  <si>
    <t>7552727381</t>
  </si>
  <si>
    <t>Patel</t>
  </si>
  <si>
    <t>Kaylin</t>
  </si>
  <si>
    <t>7019805161</t>
  </si>
  <si>
    <t>Perry</t>
  </si>
  <si>
    <t>John-Paul</t>
  </si>
  <si>
    <t>4186165138</t>
  </si>
  <si>
    <t>Probst</t>
  </si>
  <si>
    <t>Kai</t>
  </si>
  <si>
    <t>3395784690</t>
  </si>
  <si>
    <t>Rambo</t>
  </si>
  <si>
    <t>Forest</t>
  </si>
  <si>
    <t>8664907746</t>
  </si>
  <si>
    <t>Rice</t>
  </si>
  <si>
    <t>Zachary</t>
  </si>
  <si>
    <t>7138200690</t>
  </si>
  <si>
    <t>Roder</t>
  </si>
  <si>
    <t>Kieran</t>
  </si>
  <si>
    <t>4623564284</t>
  </si>
  <si>
    <t>Russell</t>
  </si>
  <si>
    <t>Logan</t>
  </si>
  <si>
    <t>2130919661</t>
  </si>
  <si>
    <t>Sabino Arana</t>
  </si>
  <si>
    <t>Alexander</t>
  </si>
  <si>
    <t>Laotian</t>
  </si>
  <si>
    <t>1481757658</t>
  </si>
  <si>
    <t>Salvado</t>
  </si>
  <si>
    <t>Miro</t>
  </si>
  <si>
    <t>7377862803</t>
  </si>
  <si>
    <t>Singh</t>
  </si>
  <si>
    <t>Aryaveer</t>
  </si>
  <si>
    <t>5685086327</t>
  </si>
  <si>
    <t>Stein</t>
  </si>
  <si>
    <t>Ari</t>
  </si>
  <si>
    <t>4347161403</t>
  </si>
  <si>
    <t>Stern</t>
  </si>
  <si>
    <t>Nathan</t>
  </si>
  <si>
    <t>9273577083</t>
  </si>
  <si>
    <t>Voloshin</t>
  </si>
  <si>
    <t>Aaron</t>
  </si>
  <si>
    <t>8995124237</t>
  </si>
  <si>
    <t>Vree</t>
  </si>
  <si>
    <t>William</t>
  </si>
  <si>
    <t>5752464502</t>
  </si>
  <si>
    <t>Weidner</t>
  </si>
  <si>
    <t>James</t>
  </si>
  <si>
    <t>3300473531</t>
  </si>
  <si>
    <t>Winter</t>
  </si>
  <si>
    <t>5486438867</t>
  </si>
  <si>
    <t>Yee</t>
  </si>
  <si>
    <t>Alina</t>
  </si>
  <si>
    <t>24-25</t>
  </si>
  <si>
    <t>3437045076</t>
  </si>
  <si>
    <t>Hayden</t>
  </si>
  <si>
    <t>25-26</t>
  </si>
  <si>
    <t>2538995308</t>
  </si>
  <si>
    <t>Aronson</t>
  </si>
  <si>
    <t>Evan</t>
  </si>
  <si>
    <t>2720574865</t>
  </si>
  <si>
    <t>Baker</t>
  </si>
  <si>
    <t>Sean</t>
  </si>
  <si>
    <t>7455499795</t>
  </si>
  <si>
    <t>Barnes</t>
  </si>
  <si>
    <t>Andrew</t>
  </si>
  <si>
    <t>7642552645</t>
  </si>
  <si>
    <t>Becker</t>
  </si>
  <si>
    <t>Sophia</t>
  </si>
  <si>
    <t>5463992417</t>
  </si>
  <si>
    <t>Benin</t>
  </si>
  <si>
    <t>Sidney</t>
  </si>
  <si>
    <t>3682194838</t>
  </si>
  <si>
    <t>Buell</t>
  </si>
  <si>
    <t>Amelia</t>
  </si>
  <si>
    <t>2100259675</t>
  </si>
  <si>
    <t>Cate</t>
  </si>
  <si>
    <t>3290132362</t>
  </si>
  <si>
    <t>Calderon Alvarez</t>
  </si>
  <si>
    <t>Braily</t>
  </si>
  <si>
    <t>No Answer Provided</t>
  </si>
  <si>
    <t>3793278352</t>
  </si>
  <si>
    <t>Remy</t>
  </si>
  <si>
    <t>9137215427</t>
  </si>
  <si>
    <t>Dayton</t>
  </si>
  <si>
    <t>Anderson</t>
  </si>
  <si>
    <t>8117207638</t>
  </si>
  <si>
    <t>Doan</t>
  </si>
  <si>
    <t>Leia</t>
  </si>
  <si>
    <t>3732120224</t>
  </si>
  <si>
    <t>Scarlett</t>
  </si>
  <si>
    <t>1241645602</t>
  </si>
  <si>
    <t>Fischer</t>
  </si>
  <si>
    <t>Devon</t>
  </si>
  <si>
    <t>2532054802</t>
  </si>
  <si>
    <t>Joshua</t>
  </si>
  <si>
    <t>6565164906</t>
  </si>
  <si>
    <t>Grammer</t>
  </si>
  <si>
    <t>4085724712</t>
  </si>
  <si>
    <t>Ivan</t>
  </si>
  <si>
    <t>6342064828</t>
  </si>
  <si>
    <t>Harrow</t>
  </si>
  <si>
    <t>2944171991</t>
  </si>
  <si>
    <t>Hawkins</t>
  </si>
  <si>
    <t>3787724507</t>
  </si>
  <si>
    <t>Ikeda</t>
  </si>
  <si>
    <t>5572040771</t>
  </si>
  <si>
    <t>Johnson</t>
  </si>
  <si>
    <t>Owen</t>
  </si>
  <si>
    <t>8515397441</t>
  </si>
  <si>
    <t>Jones</t>
  </si>
  <si>
    <t>Violetta</t>
  </si>
  <si>
    <t>7782793288</t>
  </si>
  <si>
    <t>Keast</t>
  </si>
  <si>
    <t>3005579092</t>
  </si>
  <si>
    <t>Kelly</t>
  </si>
  <si>
    <t>Elizabeth</t>
  </si>
  <si>
    <t>6933712476</t>
  </si>
  <si>
    <t>3911846062</t>
  </si>
  <si>
    <t>Kleinman-Green</t>
  </si>
  <si>
    <t>Lila</t>
  </si>
  <si>
    <t>5797643308</t>
  </si>
  <si>
    <t>Lawlor</t>
  </si>
  <si>
    <t>1232428443</t>
  </si>
  <si>
    <t>Lee</t>
  </si>
  <si>
    <t>Bennett</t>
  </si>
  <si>
    <t>Korean</t>
  </si>
  <si>
    <t>7610469851</t>
  </si>
  <si>
    <t>MacKinnon Eagan</t>
  </si>
  <si>
    <t>Xylo</t>
  </si>
  <si>
    <t>5443018806</t>
  </si>
  <si>
    <t>Anais</t>
  </si>
  <si>
    <t>3398716721</t>
  </si>
  <si>
    <t>Mayers</t>
  </si>
  <si>
    <t>Molly</t>
  </si>
  <si>
    <t>8348647645</t>
  </si>
  <si>
    <t>McEldowney</t>
  </si>
  <si>
    <t>Finn</t>
  </si>
  <si>
    <t>6191168218</t>
  </si>
  <si>
    <t>Michael Hegwer</t>
  </si>
  <si>
    <t>Samuel</t>
  </si>
  <si>
    <t>7570616534</t>
  </si>
  <si>
    <t>Million</t>
  </si>
  <si>
    <t>Max</t>
  </si>
  <si>
    <t>5826237322</t>
  </si>
  <si>
    <t>Moaveni</t>
  </si>
  <si>
    <t>Yasaman</t>
  </si>
  <si>
    <t>4233857848</t>
  </si>
  <si>
    <t>5223278867</t>
  </si>
  <si>
    <t>Mullen</t>
  </si>
  <si>
    <t>Callum</t>
  </si>
  <si>
    <t>5097068853</t>
  </si>
  <si>
    <t>Palomino</t>
  </si>
  <si>
    <t>5686477402</t>
  </si>
  <si>
    <t>Purvis</t>
  </si>
  <si>
    <t>5461090378</t>
  </si>
  <si>
    <t>Rajagopal</t>
  </si>
  <si>
    <t>Asha</t>
  </si>
  <si>
    <t>6057701403</t>
  </si>
  <si>
    <t>Schafer</t>
  </si>
  <si>
    <t>Mika</t>
  </si>
  <si>
    <t>Vietnamese</t>
  </si>
  <si>
    <t>2216471591</t>
  </si>
  <si>
    <t>Schmidt</t>
  </si>
  <si>
    <t>Justin</t>
  </si>
  <si>
    <t>6537360745</t>
  </si>
  <si>
    <t>Sepan</t>
  </si>
  <si>
    <t>Seda</t>
  </si>
  <si>
    <t>6774093887</t>
  </si>
  <si>
    <t>Sims</t>
  </si>
  <si>
    <t>Cole</t>
  </si>
  <si>
    <t>9311910884</t>
  </si>
  <si>
    <t>Gabe</t>
  </si>
  <si>
    <t>6359416637</t>
  </si>
  <si>
    <t>7192429953</t>
  </si>
  <si>
    <t>Vail</t>
  </si>
  <si>
    <t>Adelaide</t>
  </si>
  <si>
    <t>7136618951</t>
  </si>
  <si>
    <t>Wallace</t>
  </si>
  <si>
    <t>Johannah</t>
  </si>
  <si>
    <t>5253237360</t>
  </si>
  <si>
    <t>Walsh</t>
  </si>
  <si>
    <t>Patrick</t>
  </si>
  <si>
    <t>6755663698</t>
  </si>
  <si>
    <t>Whitney</t>
  </si>
  <si>
    <t>9051069126</t>
  </si>
  <si>
    <t>Yu</t>
  </si>
  <si>
    <t>Nicholas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</si>
</sst>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Calibri"/>
      <scheme val="minor"/>
    </font>
    <font>
      <color theme="1"/>
      <name val="&quot;Google Sans Mono&quot;"/>
    </font>
    <font>
      <color theme="1"/>
      <name val="Calibri"/>
      <scheme val="minor"/>
    </font>
    <font>
      <sz val="11.0"/>
      <color rgb="FF1F1F1F"/>
      <name val="&quot;Google Sans&quot;"/>
    </font>
    <font>
      <b/>
      <color theme="1"/>
      <name val="Arial"/>
    </font>
    <font>
      <color theme="1"/>
      <name val="Calibri"/>
    </font>
    <font>
      <sz val="9.0"/>
      <color rgb="FF434343"/>
      <name val="Arial"/>
    </font>
    <font>
      <sz val="9.0"/>
      <color rgb="FF2C481F"/>
      <name val="Arial"/>
    </font>
    <font>
      <sz val="9.0"/>
      <color rgb="FF2A3243"/>
      <name val="Arial"/>
    </font>
    <font>
      <sz val="9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0F4F9"/>
        <bgColor rgb="FFF0F4F9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10">
    <border/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284E3F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0" fontId="2" numFmtId="0" xfId="0" applyFont="1"/>
    <xf borderId="0" fillId="3" fontId="3" numFmtId="0" xfId="0" applyAlignment="1" applyFill="1" applyFont="1">
      <alignment readingOrder="0"/>
    </xf>
    <xf borderId="0" fillId="0" fontId="2" numFmtId="1" xfId="0" applyFont="1" applyNumberFormat="1"/>
    <xf borderId="0" fillId="0" fontId="4" numFmtId="49" xfId="0" applyAlignment="1" applyFont="1" applyNumberFormat="1">
      <alignment horizontal="left" readingOrder="0" shrinkToFit="0" vertical="center" wrapText="0"/>
    </xf>
    <xf borderId="0" fillId="0" fontId="4" numFmtId="49" xfId="0" applyAlignment="1" applyFont="1" applyNumberFormat="1">
      <alignment horizontal="right" readingOrder="0" shrinkToFit="0" vertical="center" wrapText="0"/>
    </xf>
    <xf borderId="0" fillId="0" fontId="4" numFmtId="49" xfId="0" applyAlignment="1" applyFont="1" applyNumberFormat="1">
      <alignment horizontal="center" readingOrder="0" shrinkToFit="0" vertical="center" wrapText="0"/>
    </xf>
    <xf borderId="0" fillId="0" fontId="5" numFmtId="0" xfId="0" applyAlignment="1" applyFont="1">
      <alignment horizontal="left" readingOrder="0" shrinkToFit="0" vertical="bottom" wrapText="0"/>
    </xf>
    <xf borderId="0" fillId="0" fontId="5" numFmtId="0" xfId="0" applyAlignment="1" applyFont="1">
      <alignment vertical="bottom"/>
    </xf>
    <xf borderId="1" fillId="3" fontId="6" numFmtId="49" xfId="0" applyAlignment="1" applyBorder="1" applyFont="1" applyNumberFormat="1">
      <alignment shrinkToFit="0" vertical="center" wrapText="0"/>
    </xf>
    <xf borderId="2" fillId="3" fontId="6" numFmtId="49" xfId="0" applyAlignment="1" applyBorder="1" applyFont="1" applyNumberFormat="1">
      <alignment shrinkToFit="0" vertical="center" wrapText="0"/>
    </xf>
    <xf borderId="2" fillId="3" fontId="6" numFmtId="1" xfId="0" applyAlignment="1" applyBorder="1" applyFont="1" applyNumberFormat="1">
      <alignment horizontal="right" shrinkToFit="0" vertical="center" wrapText="0"/>
    </xf>
    <xf borderId="2" fillId="3" fontId="7" numFmtId="49" xfId="0" applyAlignment="1" applyBorder="1" applyFont="1" applyNumberFormat="1">
      <alignment shrinkToFit="0" vertical="center" wrapText="0"/>
    </xf>
    <xf borderId="3" fillId="3" fontId="6" numFmtId="49" xfId="0" applyAlignment="1" applyBorder="1" applyFont="1" applyNumberFormat="1">
      <alignment shrinkToFit="0" vertical="center" wrapText="0"/>
    </xf>
    <xf borderId="0" fillId="0" fontId="5" numFmtId="0" xfId="0" applyAlignment="1" applyFont="1">
      <alignment readingOrder="0" shrinkToFit="0" vertical="bottom" wrapText="0"/>
    </xf>
    <xf borderId="4" fillId="4" fontId="6" numFmtId="49" xfId="0" applyAlignment="1" applyBorder="1" applyFill="1" applyFont="1" applyNumberFormat="1">
      <alignment shrinkToFit="0" vertical="center" wrapText="0"/>
    </xf>
    <xf borderId="5" fillId="4" fontId="6" numFmtId="49" xfId="0" applyAlignment="1" applyBorder="1" applyFont="1" applyNumberFormat="1">
      <alignment shrinkToFit="0" vertical="center" wrapText="0"/>
    </xf>
    <xf borderId="5" fillId="4" fontId="6" numFmtId="1" xfId="0" applyAlignment="1" applyBorder="1" applyFont="1" applyNumberFormat="1">
      <alignment horizontal="right" shrinkToFit="0" vertical="center" wrapText="0"/>
    </xf>
    <xf borderId="5" fillId="4" fontId="7" numFmtId="49" xfId="0" applyAlignment="1" applyBorder="1" applyFont="1" applyNumberFormat="1">
      <alignment shrinkToFit="0" vertical="center" wrapText="0"/>
    </xf>
    <xf borderId="6" fillId="4" fontId="6" numFmtId="49" xfId="0" applyAlignment="1" applyBorder="1" applyFont="1" applyNumberFormat="1">
      <alignment shrinkToFit="0" vertical="center" wrapText="0"/>
    </xf>
    <xf borderId="2" fillId="3" fontId="8" numFmtId="49" xfId="0" applyAlignment="1" applyBorder="1" applyFont="1" applyNumberFormat="1">
      <alignment shrinkToFit="0" vertical="center" wrapText="0"/>
    </xf>
    <xf borderId="5" fillId="4" fontId="8" numFmtId="49" xfId="0" applyAlignment="1" applyBorder="1" applyFont="1" applyNumberFormat="1">
      <alignment shrinkToFit="0" vertical="center" wrapText="0"/>
    </xf>
    <xf borderId="7" fillId="4" fontId="6" numFmtId="49" xfId="0" applyAlignment="1" applyBorder="1" applyFont="1" applyNumberFormat="1">
      <alignment shrinkToFit="0" vertical="center" wrapText="0"/>
    </xf>
    <xf borderId="8" fillId="4" fontId="6" numFmtId="49" xfId="0" applyAlignment="1" applyBorder="1" applyFont="1" applyNumberFormat="1">
      <alignment shrinkToFit="0" vertical="center" wrapText="0"/>
    </xf>
    <xf borderId="8" fillId="4" fontId="6" numFmtId="1" xfId="0" applyAlignment="1" applyBorder="1" applyFont="1" applyNumberFormat="1">
      <alignment horizontal="right" shrinkToFit="0" vertical="center" wrapText="0"/>
    </xf>
    <xf borderId="8" fillId="4" fontId="8" numFmtId="49" xfId="0" applyAlignment="1" applyBorder="1" applyFont="1" applyNumberFormat="1">
      <alignment shrinkToFit="0" vertical="center" wrapText="0"/>
    </xf>
    <xf borderId="9" fillId="4" fontId="6" numFmtId="49" xfId="0" applyAlignment="1" applyBorder="1" applyFont="1" applyNumberFormat="1">
      <alignment shrinkToFit="0" vertical="center" wrapText="0"/>
    </xf>
    <xf borderId="0" fillId="0" fontId="4" numFmtId="49" xfId="0" applyAlignment="1" applyFont="1" applyNumberFormat="1">
      <alignment horizontal="left" readingOrder="0" shrinkToFit="0" vertical="center" wrapText="0"/>
    </xf>
    <xf borderId="0" fillId="0" fontId="4" numFmtId="49" xfId="0" applyAlignment="1" applyFont="1" applyNumberFormat="1">
      <alignment horizontal="right" readingOrder="0" shrinkToFit="0" vertical="center" wrapText="0"/>
    </xf>
    <xf borderId="0" fillId="0" fontId="4" numFmtId="49" xfId="0" applyAlignment="1" applyFont="1" applyNumberFormat="1">
      <alignment horizontal="center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9" numFmtId="49" xfId="0" applyAlignment="1" applyFont="1" applyNumberFormat="1">
      <alignment shrinkToFit="0" vertical="center" wrapText="0"/>
    </xf>
    <xf borderId="0" fillId="0" fontId="9" numFmtId="1" xfId="0" applyAlignment="1" applyFont="1" applyNumberFormat="1">
      <alignment shrinkToFit="0" vertical="center" wrapText="0"/>
    </xf>
    <xf borderId="0" fillId="0" fontId="9" numFmtId="49" xfId="0" applyAlignment="1" applyFont="1" applyNumberFormat="1">
      <alignment shrinkToFit="0" vertical="center" wrapText="0"/>
    </xf>
    <xf borderId="0" fillId="0" fontId="2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3">
    <tableStyle count="4" pivot="0" name="23-24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24-25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25-26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J61" displayName="Algebra_1A_23_24" name="Algebra_1A_23_24" id="1">
  <tableColumns count="10">
    <tableColumn name="State Student ID" id="1"/>
    <tableColumn name="Last Name" id="2"/>
    <tableColumn name="First Name" id="3"/>
    <tableColumn name="Grade" id="4"/>
    <tableColumn name="Sex" id="5"/>
    <tableColumn name="Description_STU_ETH" id="6"/>
    <tableColumn name="Description_STU_RC1" id="7"/>
    <tableColumn name="Section#" id="8"/>
    <tableColumn name="Course ID" id="9"/>
    <tableColumn name="Academic Year" id="10"/>
  </tableColumns>
  <tableStyleInfo name="23-24-style" showColumnStripes="0" showFirstColumn="1" showLastColumn="1" showRowStripes="1"/>
</table>
</file>

<file path=xl/tables/table2.xml><?xml version="1.0" encoding="utf-8"?>
<table xmlns="http://schemas.openxmlformats.org/spreadsheetml/2006/main" ref="A1:J61" displayName="Algebra_1A_24_25" name="Algebra_1A_24_25" id="2">
  <tableColumns count="10">
    <tableColumn name="State Student ID" id="1"/>
    <tableColumn name="Last Name" id="2"/>
    <tableColumn name="First Name" id="3"/>
    <tableColumn name="Grade" id="4"/>
    <tableColumn name="Sex" id="5"/>
    <tableColumn name="Description_STU_ETH" id="6"/>
    <tableColumn name="Description_STU_RC1" id="7"/>
    <tableColumn name="Section#" id="8"/>
    <tableColumn name="Course ID" id="9"/>
    <tableColumn name="Academic Year" id="10"/>
  </tableColumns>
  <tableStyleInfo name="24-25-style" showColumnStripes="0" showFirstColumn="1" showLastColumn="1" showRowStripes="1"/>
</table>
</file>

<file path=xl/tables/table3.xml><?xml version="1.0" encoding="utf-8"?>
<table xmlns="http://schemas.openxmlformats.org/spreadsheetml/2006/main" ref="A1:J52" displayName="Algebra_1A_25_26" name="Algebra_1A_25_26" id="3">
  <tableColumns count="10">
    <tableColumn name="State Student ID" id="1"/>
    <tableColumn name="Last Name" id="2"/>
    <tableColumn name="First Name" id="3"/>
    <tableColumn name="Grade" id="4"/>
    <tableColumn name="Sex" id="5"/>
    <tableColumn name="Description_STU_ETH" id="6"/>
    <tableColumn name="Description_STU_RC1" id="7"/>
    <tableColumn name="Section#" id="8"/>
    <tableColumn name="Course ID" id="9"/>
    <tableColumn name="Academic Year" id="10"/>
  </tableColumns>
  <tableStyleInfo name="25-26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 t="str">
        <f>IFERROR(__xludf.DUMMYFUNCTION("QUERY({'23-24'!A1:J61; '24-25'!A2:J61; '25-26'!A2:J52}, ""select * where Col1 is not null"", 1)"),"State Student ID")</f>
        <v>State Student ID</v>
      </c>
      <c r="B1" s="2" t="str">
        <f>IFERROR(__xludf.DUMMYFUNCTION("""COMPUTED_VALUE"""),"Last Name")</f>
        <v>Last Name</v>
      </c>
      <c r="C1" s="2" t="str">
        <f>IFERROR(__xludf.DUMMYFUNCTION("""COMPUTED_VALUE"""),"First Name")</f>
        <v>First Name</v>
      </c>
      <c r="D1" s="2" t="str">
        <f>IFERROR(__xludf.DUMMYFUNCTION("""COMPUTED_VALUE"""),"Grade")</f>
        <v>Grade</v>
      </c>
      <c r="E1" s="2" t="str">
        <f>IFERROR(__xludf.DUMMYFUNCTION("""COMPUTED_VALUE"""),"Sex")</f>
        <v>Sex</v>
      </c>
      <c r="F1" s="2" t="str">
        <f>IFERROR(__xludf.DUMMYFUNCTION("""COMPUTED_VALUE"""),"Description_STU_ETH")</f>
        <v>Description_STU_ETH</v>
      </c>
      <c r="G1" s="2" t="str">
        <f>IFERROR(__xludf.DUMMYFUNCTION("""COMPUTED_VALUE"""),"Description_STU_RC1")</f>
        <v>Description_STU_RC1</v>
      </c>
      <c r="H1" s="2" t="str">
        <f>IFERROR(__xludf.DUMMYFUNCTION("""COMPUTED_VALUE"""),"Section#")</f>
        <v>Section#</v>
      </c>
      <c r="I1" s="2" t="str">
        <f>IFERROR(__xludf.DUMMYFUNCTION("""COMPUTED_VALUE"""),"Course ID")</f>
        <v>Course ID</v>
      </c>
      <c r="J1" s="2" t="str">
        <f>IFERROR(__xludf.DUMMYFUNCTION("""COMPUTED_VALUE"""),"Academic Year")</f>
        <v>Academic Year</v>
      </c>
    </row>
    <row r="2">
      <c r="A2" s="3" t="str">
        <f>IFERROR(__xludf.DUMMYFUNCTION("""COMPUTED_VALUE"""),"4976887454")</f>
        <v>4976887454</v>
      </c>
      <c r="B2" s="2" t="str">
        <f>IFERROR(__xludf.DUMMYFUNCTION("""COMPUTED_VALUE"""),"Alarcon")</f>
        <v>Alarcon</v>
      </c>
      <c r="C2" s="2" t="str">
        <f>IFERROR(__xludf.DUMMYFUNCTION("""COMPUTED_VALUE"""),"Tyler")</f>
        <v>Tyler</v>
      </c>
      <c r="D2" s="4">
        <f>IFERROR(__xludf.DUMMYFUNCTION("""COMPUTED_VALUE"""),8.0)</f>
        <v>8</v>
      </c>
      <c r="E2" s="2" t="str">
        <f>IFERROR(__xludf.DUMMYFUNCTION("""COMPUTED_VALUE"""),"M")</f>
        <v>M</v>
      </c>
      <c r="F2" s="2" t="str">
        <f>IFERROR(__xludf.DUMMYFUNCTION("""COMPUTED_VALUE"""),"Yes, Hispanic or Latino")</f>
        <v>Yes, Hispanic or Latino</v>
      </c>
      <c r="G2" s="2" t="str">
        <f>IFERROR(__xludf.DUMMYFUNCTION("""COMPUTED_VALUE"""),"White")</f>
        <v>White</v>
      </c>
      <c r="H2" s="4">
        <f>IFERROR(__xludf.DUMMYFUNCTION("""COMPUTED_VALUE"""),1030.0)</f>
        <v>1030</v>
      </c>
      <c r="I2" s="2" t="str">
        <f>IFERROR(__xludf.DUMMYFUNCTION("""COMPUTED_VALUE"""),"000308")</f>
        <v>000308</v>
      </c>
      <c r="J2" s="2" t="str">
        <f>IFERROR(__xludf.DUMMYFUNCTION("""COMPUTED_VALUE"""),"23-24")</f>
        <v>23-24</v>
      </c>
    </row>
    <row r="3">
      <c r="A3" s="2" t="str">
        <f>IFERROR(__xludf.DUMMYFUNCTION("""COMPUTED_VALUE"""),"4680924726")</f>
        <v>4680924726</v>
      </c>
      <c r="B3" s="2" t="str">
        <f>IFERROR(__xludf.DUMMYFUNCTION("""COMPUTED_VALUE"""),"Almallah")</f>
        <v>Almallah</v>
      </c>
      <c r="C3" s="2" t="str">
        <f>IFERROR(__xludf.DUMMYFUNCTION("""COMPUTED_VALUE"""),"Zyad")</f>
        <v>Zyad</v>
      </c>
      <c r="D3" s="4">
        <f>IFERROR(__xludf.DUMMYFUNCTION("""COMPUTED_VALUE"""),8.0)</f>
        <v>8</v>
      </c>
      <c r="E3" s="2" t="str">
        <f>IFERROR(__xludf.DUMMYFUNCTION("""COMPUTED_VALUE"""),"M")</f>
        <v>M</v>
      </c>
      <c r="F3" s="2" t="str">
        <f>IFERROR(__xludf.DUMMYFUNCTION("""COMPUTED_VALUE"""),"No, not Hispanic or Latino")</f>
        <v>No, not Hispanic or Latino</v>
      </c>
      <c r="G3" s="2" t="str">
        <f>IFERROR(__xludf.DUMMYFUNCTION("""COMPUTED_VALUE"""),"White")</f>
        <v>White</v>
      </c>
      <c r="H3" s="4">
        <f>IFERROR(__xludf.DUMMYFUNCTION("""COMPUTED_VALUE"""),1030.0)</f>
        <v>1030</v>
      </c>
      <c r="I3" s="2" t="str">
        <f>IFERROR(__xludf.DUMMYFUNCTION("""COMPUTED_VALUE"""),"000308")</f>
        <v>000308</v>
      </c>
      <c r="J3" s="2" t="str">
        <f>IFERROR(__xludf.DUMMYFUNCTION("""COMPUTED_VALUE"""),"23-24")</f>
        <v>23-24</v>
      </c>
    </row>
    <row r="4">
      <c r="A4" s="2" t="str">
        <f>IFERROR(__xludf.DUMMYFUNCTION("""COMPUTED_VALUE"""),"8714704781")</f>
        <v>8714704781</v>
      </c>
      <c r="B4" s="2" t="str">
        <f>IFERROR(__xludf.DUMMYFUNCTION("""COMPUTED_VALUE"""),"Arebalo")</f>
        <v>Arebalo</v>
      </c>
      <c r="C4" s="2" t="str">
        <f>IFERROR(__xludf.DUMMYFUNCTION("""COMPUTED_VALUE"""),"Lauren")</f>
        <v>Lauren</v>
      </c>
      <c r="D4" s="4">
        <f>IFERROR(__xludf.DUMMYFUNCTION("""COMPUTED_VALUE"""),8.0)</f>
        <v>8</v>
      </c>
      <c r="E4" s="2" t="str">
        <f>IFERROR(__xludf.DUMMYFUNCTION("""COMPUTED_VALUE"""),"F")</f>
        <v>F</v>
      </c>
      <c r="F4" s="2" t="str">
        <f>IFERROR(__xludf.DUMMYFUNCTION("""COMPUTED_VALUE"""),"No, not Hispanic or Latino")</f>
        <v>No, not Hispanic or Latino</v>
      </c>
      <c r="G4" s="2" t="str">
        <f>IFERROR(__xludf.DUMMYFUNCTION("""COMPUTED_VALUE"""),"White")</f>
        <v>White</v>
      </c>
      <c r="H4" s="4">
        <f>IFERROR(__xludf.DUMMYFUNCTION("""COMPUTED_VALUE"""),1030.0)</f>
        <v>1030</v>
      </c>
      <c r="I4" s="2" t="str">
        <f>IFERROR(__xludf.DUMMYFUNCTION("""COMPUTED_VALUE"""),"000308")</f>
        <v>000308</v>
      </c>
      <c r="J4" s="2" t="str">
        <f>IFERROR(__xludf.DUMMYFUNCTION("""COMPUTED_VALUE"""),"23-24")</f>
        <v>23-24</v>
      </c>
    </row>
    <row r="5">
      <c r="A5" s="2" t="str">
        <f>IFERROR(__xludf.DUMMYFUNCTION("""COMPUTED_VALUE"""),"2679815812")</f>
        <v>2679815812</v>
      </c>
      <c r="B5" s="2" t="str">
        <f>IFERROR(__xludf.DUMMYFUNCTION("""COMPUTED_VALUE"""),"Attri")</f>
        <v>Attri</v>
      </c>
      <c r="C5" s="2" t="str">
        <f>IFERROR(__xludf.DUMMYFUNCTION("""COMPUTED_VALUE"""),"Jayshan")</f>
        <v>Jayshan</v>
      </c>
      <c r="D5" s="4">
        <f>IFERROR(__xludf.DUMMYFUNCTION("""COMPUTED_VALUE"""),8.0)</f>
        <v>8</v>
      </c>
      <c r="E5" s="2" t="str">
        <f>IFERROR(__xludf.DUMMYFUNCTION("""COMPUTED_VALUE"""),"M")</f>
        <v>M</v>
      </c>
      <c r="F5" s="2" t="str">
        <f>IFERROR(__xludf.DUMMYFUNCTION("""COMPUTED_VALUE"""),"No, not Hispanic or Latino")</f>
        <v>No, not Hispanic or Latino</v>
      </c>
      <c r="G5" s="2" t="str">
        <f>IFERROR(__xludf.DUMMYFUNCTION("""COMPUTED_VALUE"""),"Asian Indian")</f>
        <v>Asian Indian</v>
      </c>
      <c r="H5" s="4">
        <f>IFERROR(__xludf.DUMMYFUNCTION("""COMPUTED_VALUE"""),1031.0)</f>
        <v>1031</v>
      </c>
      <c r="I5" s="2" t="str">
        <f>IFERROR(__xludf.DUMMYFUNCTION("""COMPUTED_VALUE"""),"000308")</f>
        <v>000308</v>
      </c>
      <c r="J5" s="2" t="str">
        <f>IFERROR(__xludf.DUMMYFUNCTION("""COMPUTED_VALUE"""),"23-24")</f>
        <v>23-24</v>
      </c>
    </row>
    <row r="6">
      <c r="A6" s="2" t="str">
        <f>IFERROR(__xludf.DUMMYFUNCTION("""COMPUTED_VALUE"""),"4187077288")</f>
        <v>4187077288</v>
      </c>
      <c r="B6" s="2" t="str">
        <f>IFERROR(__xludf.DUMMYFUNCTION("""COMPUTED_VALUE"""),"Brown")</f>
        <v>Brown</v>
      </c>
      <c r="C6" s="2" t="str">
        <f>IFERROR(__xludf.DUMMYFUNCTION("""COMPUTED_VALUE"""),"Ryan")</f>
        <v>Ryan</v>
      </c>
      <c r="D6" s="4">
        <f>IFERROR(__xludf.DUMMYFUNCTION("""COMPUTED_VALUE"""),8.0)</f>
        <v>8</v>
      </c>
      <c r="E6" s="2" t="str">
        <f>IFERROR(__xludf.DUMMYFUNCTION("""COMPUTED_VALUE"""),"M")</f>
        <v>M</v>
      </c>
      <c r="F6" s="2" t="str">
        <f>IFERROR(__xludf.DUMMYFUNCTION("""COMPUTED_VALUE"""),"No, not Hispanic or Latino")</f>
        <v>No, not Hispanic or Latino</v>
      </c>
      <c r="G6" s="2" t="str">
        <f>IFERROR(__xludf.DUMMYFUNCTION("""COMPUTED_VALUE"""),"White")</f>
        <v>White</v>
      </c>
      <c r="H6" s="4">
        <f>IFERROR(__xludf.DUMMYFUNCTION("""COMPUTED_VALUE"""),1030.0)</f>
        <v>1030</v>
      </c>
      <c r="I6" s="2" t="str">
        <f>IFERROR(__xludf.DUMMYFUNCTION("""COMPUTED_VALUE"""),"000308")</f>
        <v>000308</v>
      </c>
      <c r="J6" s="2" t="str">
        <f>IFERROR(__xludf.DUMMYFUNCTION("""COMPUTED_VALUE"""),"23-24")</f>
        <v>23-24</v>
      </c>
    </row>
    <row r="7">
      <c r="A7" s="2" t="str">
        <f>IFERROR(__xludf.DUMMYFUNCTION("""COMPUTED_VALUE"""),"4390212071")</f>
        <v>4390212071</v>
      </c>
      <c r="B7" s="2" t="str">
        <f>IFERROR(__xludf.DUMMYFUNCTION("""COMPUTED_VALUE"""),"Burgon")</f>
        <v>Burgon</v>
      </c>
      <c r="C7" s="2" t="str">
        <f>IFERROR(__xludf.DUMMYFUNCTION("""COMPUTED_VALUE"""),"Jane")</f>
        <v>Jane</v>
      </c>
      <c r="D7" s="4">
        <f>IFERROR(__xludf.DUMMYFUNCTION("""COMPUTED_VALUE"""),8.0)</f>
        <v>8</v>
      </c>
      <c r="E7" s="2" t="str">
        <f>IFERROR(__xludf.DUMMYFUNCTION("""COMPUTED_VALUE"""),"F")</f>
        <v>F</v>
      </c>
      <c r="F7" s="2" t="str">
        <f>IFERROR(__xludf.DUMMYFUNCTION("""COMPUTED_VALUE"""),"No, not Hispanic or Latino")</f>
        <v>No, not Hispanic or Latino</v>
      </c>
      <c r="G7" s="2" t="str">
        <f>IFERROR(__xludf.DUMMYFUNCTION("""COMPUTED_VALUE"""),"White")</f>
        <v>White</v>
      </c>
      <c r="H7" s="4">
        <f>IFERROR(__xludf.DUMMYFUNCTION("""COMPUTED_VALUE"""),1031.0)</f>
        <v>1031</v>
      </c>
      <c r="I7" s="2" t="str">
        <f>IFERROR(__xludf.DUMMYFUNCTION("""COMPUTED_VALUE"""),"000308")</f>
        <v>000308</v>
      </c>
      <c r="J7" s="2" t="str">
        <f>IFERROR(__xludf.DUMMYFUNCTION("""COMPUTED_VALUE"""),"23-24")</f>
        <v>23-24</v>
      </c>
    </row>
    <row r="8">
      <c r="A8" s="2" t="str">
        <f>IFERROR(__xludf.DUMMYFUNCTION("""COMPUTED_VALUE"""),"7513702492")</f>
        <v>7513702492</v>
      </c>
      <c r="B8" s="2" t="str">
        <f>IFERROR(__xludf.DUMMYFUNCTION("""COMPUTED_VALUE"""),"Campo")</f>
        <v>Campo</v>
      </c>
      <c r="C8" s="2" t="str">
        <f>IFERROR(__xludf.DUMMYFUNCTION("""COMPUTED_VALUE"""),"Lucia")</f>
        <v>Lucia</v>
      </c>
      <c r="D8" s="4">
        <f>IFERROR(__xludf.DUMMYFUNCTION("""COMPUTED_VALUE"""),8.0)</f>
        <v>8</v>
      </c>
      <c r="E8" s="2" t="str">
        <f>IFERROR(__xludf.DUMMYFUNCTION("""COMPUTED_VALUE"""),"F")</f>
        <v>F</v>
      </c>
      <c r="F8" s="2" t="str">
        <f>IFERROR(__xludf.DUMMYFUNCTION("""COMPUTED_VALUE"""),"No, not Hispanic or Latino")</f>
        <v>No, not Hispanic or Latino</v>
      </c>
      <c r="G8" s="2" t="str">
        <f>IFERROR(__xludf.DUMMYFUNCTION("""COMPUTED_VALUE"""),"Chinese")</f>
        <v>Chinese</v>
      </c>
      <c r="H8" s="4">
        <f>IFERROR(__xludf.DUMMYFUNCTION("""COMPUTED_VALUE"""),1030.0)</f>
        <v>1030</v>
      </c>
      <c r="I8" s="2" t="str">
        <f>IFERROR(__xludf.DUMMYFUNCTION("""COMPUTED_VALUE"""),"000308")</f>
        <v>000308</v>
      </c>
      <c r="J8" s="2" t="str">
        <f>IFERROR(__xludf.DUMMYFUNCTION("""COMPUTED_VALUE"""),"23-24")</f>
        <v>23-24</v>
      </c>
    </row>
    <row r="9">
      <c r="A9" s="2" t="str">
        <f>IFERROR(__xludf.DUMMYFUNCTION("""COMPUTED_VALUE"""),"7420262084")</f>
        <v>7420262084</v>
      </c>
      <c r="B9" s="2" t="str">
        <f>IFERROR(__xludf.DUMMYFUNCTION("""COMPUTED_VALUE"""),"Canellos")</f>
        <v>Canellos</v>
      </c>
      <c r="C9" s="2" t="str">
        <f>IFERROR(__xludf.DUMMYFUNCTION("""COMPUTED_VALUE"""),"Dregen")</f>
        <v>Dregen</v>
      </c>
      <c r="D9" s="4">
        <f>IFERROR(__xludf.DUMMYFUNCTION("""COMPUTED_VALUE"""),8.0)</f>
        <v>8</v>
      </c>
      <c r="E9" s="2" t="str">
        <f>IFERROR(__xludf.DUMMYFUNCTION("""COMPUTED_VALUE"""),"M")</f>
        <v>M</v>
      </c>
      <c r="F9" s="2" t="str">
        <f>IFERROR(__xludf.DUMMYFUNCTION("""COMPUTED_VALUE"""),"No, not Hispanic or Latino")</f>
        <v>No, not Hispanic or Latino</v>
      </c>
      <c r="G9" s="2" t="str">
        <f>IFERROR(__xludf.DUMMYFUNCTION("""COMPUTED_VALUE"""),"White")</f>
        <v>White</v>
      </c>
      <c r="H9" s="4">
        <f>IFERROR(__xludf.DUMMYFUNCTION("""COMPUTED_VALUE"""),1031.0)</f>
        <v>1031</v>
      </c>
      <c r="I9" s="2" t="str">
        <f>IFERROR(__xludf.DUMMYFUNCTION("""COMPUTED_VALUE"""),"000308")</f>
        <v>000308</v>
      </c>
      <c r="J9" s="2" t="str">
        <f>IFERROR(__xludf.DUMMYFUNCTION("""COMPUTED_VALUE"""),"23-24")</f>
        <v>23-24</v>
      </c>
    </row>
    <row r="10">
      <c r="A10" s="2" t="str">
        <f>IFERROR(__xludf.DUMMYFUNCTION("""COMPUTED_VALUE"""),"5026302371")</f>
        <v>5026302371</v>
      </c>
      <c r="B10" s="2" t="str">
        <f>IFERROR(__xludf.DUMMYFUNCTION("""COMPUTED_VALUE"""),"Carroll")</f>
        <v>Carroll</v>
      </c>
      <c r="C10" s="2" t="str">
        <f>IFERROR(__xludf.DUMMYFUNCTION("""COMPUTED_VALUE"""),"Sonia")</f>
        <v>Sonia</v>
      </c>
      <c r="D10" s="4">
        <f>IFERROR(__xludf.DUMMYFUNCTION("""COMPUTED_VALUE"""),8.0)</f>
        <v>8</v>
      </c>
      <c r="E10" s="2" t="str">
        <f>IFERROR(__xludf.DUMMYFUNCTION("""COMPUTED_VALUE"""),"F")</f>
        <v>F</v>
      </c>
      <c r="F10" s="2" t="str">
        <f>IFERROR(__xludf.DUMMYFUNCTION("""COMPUTED_VALUE"""),"No, not Hispanic or Latino")</f>
        <v>No, not Hispanic or Latino</v>
      </c>
      <c r="G10" s="2" t="str">
        <f>IFERROR(__xludf.DUMMYFUNCTION("""COMPUTED_VALUE"""),"White")</f>
        <v>White</v>
      </c>
      <c r="H10" s="4">
        <f>IFERROR(__xludf.DUMMYFUNCTION("""COMPUTED_VALUE"""),1031.0)</f>
        <v>1031</v>
      </c>
      <c r="I10" s="2" t="str">
        <f>IFERROR(__xludf.DUMMYFUNCTION("""COMPUTED_VALUE"""),"000308")</f>
        <v>000308</v>
      </c>
      <c r="J10" s="2" t="str">
        <f>IFERROR(__xludf.DUMMYFUNCTION("""COMPUTED_VALUE"""),"23-24")</f>
        <v>23-24</v>
      </c>
    </row>
    <row r="11">
      <c r="A11" s="2" t="str">
        <f>IFERROR(__xludf.DUMMYFUNCTION("""COMPUTED_VALUE"""),"7546451130")</f>
        <v>7546451130</v>
      </c>
      <c r="B11" s="2" t="str">
        <f>IFERROR(__xludf.DUMMYFUNCTION("""COMPUTED_VALUE"""),"Case")</f>
        <v>Case</v>
      </c>
      <c r="C11" s="2" t="str">
        <f>IFERROR(__xludf.DUMMYFUNCTION("""COMPUTED_VALUE"""),"Tyler")</f>
        <v>Tyler</v>
      </c>
      <c r="D11" s="4">
        <f>IFERROR(__xludf.DUMMYFUNCTION("""COMPUTED_VALUE"""),8.0)</f>
        <v>8</v>
      </c>
      <c r="E11" s="2" t="str">
        <f>IFERROR(__xludf.DUMMYFUNCTION("""COMPUTED_VALUE"""),"M")</f>
        <v>M</v>
      </c>
      <c r="F11" s="2" t="str">
        <f>IFERROR(__xludf.DUMMYFUNCTION("""COMPUTED_VALUE"""),"No, not Hispanic or Latino")</f>
        <v>No, not Hispanic or Latino</v>
      </c>
      <c r="G11" s="2" t="str">
        <f>IFERROR(__xludf.DUMMYFUNCTION("""COMPUTED_VALUE"""),"White")</f>
        <v>White</v>
      </c>
      <c r="H11" s="4">
        <f>IFERROR(__xludf.DUMMYFUNCTION("""COMPUTED_VALUE"""),1030.0)</f>
        <v>1030</v>
      </c>
      <c r="I11" s="2" t="str">
        <f>IFERROR(__xludf.DUMMYFUNCTION("""COMPUTED_VALUE"""),"000308")</f>
        <v>000308</v>
      </c>
      <c r="J11" s="2" t="str">
        <f>IFERROR(__xludf.DUMMYFUNCTION("""COMPUTED_VALUE"""),"23-24")</f>
        <v>23-24</v>
      </c>
    </row>
    <row r="12">
      <c r="A12" s="2" t="str">
        <f>IFERROR(__xludf.DUMMYFUNCTION("""COMPUTED_VALUE"""),"1155716774")</f>
        <v>1155716774</v>
      </c>
      <c r="B12" s="2" t="str">
        <f>IFERROR(__xludf.DUMMYFUNCTION("""COMPUTED_VALUE"""),"Chance")</f>
        <v>Chance</v>
      </c>
      <c r="C12" s="2" t="str">
        <f>IFERROR(__xludf.DUMMYFUNCTION("""COMPUTED_VALUE"""),"Hiro")</f>
        <v>Hiro</v>
      </c>
      <c r="D12" s="4">
        <f>IFERROR(__xludf.DUMMYFUNCTION("""COMPUTED_VALUE"""),8.0)</f>
        <v>8</v>
      </c>
      <c r="E12" s="2" t="str">
        <f>IFERROR(__xludf.DUMMYFUNCTION("""COMPUTED_VALUE"""),"M")</f>
        <v>M</v>
      </c>
      <c r="F12" s="2" t="str">
        <f>IFERROR(__xludf.DUMMYFUNCTION("""COMPUTED_VALUE"""),"No, not Hispanic or Latino")</f>
        <v>No, not Hispanic or Latino</v>
      </c>
      <c r="G12" s="2" t="str">
        <f>IFERROR(__xludf.DUMMYFUNCTION("""COMPUTED_VALUE"""),"Japanese")</f>
        <v>Japanese</v>
      </c>
      <c r="H12" s="4">
        <f>IFERROR(__xludf.DUMMYFUNCTION("""COMPUTED_VALUE"""),1030.0)</f>
        <v>1030</v>
      </c>
      <c r="I12" s="2" t="str">
        <f>IFERROR(__xludf.DUMMYFUNCTION("""COMPUTED_VALUE"""),"000308")</f>
        <v>000308</v>
      </c>
      <c r="J12" s="2" t="str">
        <f>IFERROR(__xludf.DUMMYFUNCTION("""COMPUTED_VALUE"""),"23-24")</f>
        <v>23-24</v>
      </c>
    </row>
    <row r="13">
      <c r="A13" s="2" t="str">
        <f>IFERROR(__xludf.DUMMYFUNCTION("""COMPUTED_VALUE"""),"1629553476")</f>
        <v>1629553476</v>
      </c>
      <c r="B13" s="2" t="str">
        <f>IFERROR(__xludf.DUMMYFUNCTION("""COMPUTED_VALUE"""),"Chaudhuri")</f>
        <v>Chaudhuri</v>
      </c>
      <c r="C13" s="2" t="str">
        <f>IFERROR(__xludf.DUMMYFUNCTION("""COMPUTED_VALUE"""),"Rayna")</f>
        <v>Rayna</v>
      </c>
      <c r="D13" s="4">
        <f>IFERROR(__xludf.DUMMYFUNCTION("""COMPUTED_VALUE"""),8.0)</f>
        <v>8</v>
      </c>
      <c r="E13" s="2" t="str">
        <f>IFERROR(__xludf.DUMMYFUNCTION("""COMPUTED_VALUE"""),"F")</f>
        <v>F</v>
      </c>
      <c r="F13" s="2" t="str">
        <f>IFERROR(__xludf.DUMMYFUNCTION("""COMPUTED_VALUE"""),"No, not Hispanic or Latino")</f>
        <v>No, not Hispanic or Latino</v>
      </c>
      <c r="G13" s="2" t="str">
        <f>IFERROR(__xludf.DUMMYFUNCTION("""COMPUTED_VALUE"""),"Asian Indian")</f>
        <v>Asian Indian</v>
      </c>
      <c r="H13" s="4">
        <f>IFERROR(__xludf.DUMMYFUNCTION("""COMPUTED_VALUE"""),1030.0)</f>
        <v>1030</v>
      </c>
      <c r="I13" s="2" t="str">
        <f>IFERROR(__xludf.DUMMYFUNCTION("""COMPUTED_VALUE"""),"000308")</f>
        <v>000308</v>
      </c>
      <c r="J13" s="2" t="str">
        <f>IFERROR(__xludf.DUMMYFUNCTION("""COMPUTED_VALUE"""),"23-24")</f>
        <v>23-24</v>
      </c>
    </row>
    <row r="14">
      <c r="A14" s="2" t="str">
        <f>IFERROR(__xludf.DUMMYFUNCTION("""COMPUTED_VALUE"""),"6311816831")</f>
        <v>6311816831</v>
      </c>
      <c r="B14" s="2" t="str">
        <f>IFERROR(__xludf.DUMMYFUNCTION("""COMPUTED_VALUE"""),"Cox")</f>
        <v>Cox</v>
      </c>
      <c r="C14" s="2" t="str">
        <f>IFERROR(__xludf.DUMMYFUNCTION("""COMPUTED_VALUE"""),"Noah")</f>
        <v>Noah</v>
      </c>
      <c r="D14" s="4">
        <f>IFERROR(__xludf.DUMMYFUNCTION("""COMPUTED_VALUE"""),8.0)</f>
        <v>8</v>
      </c>
      <c r="E14" s="2" t="str">
        <f>IFERROR(__xludf.DUMMYFUNCTION("""COMPUTED_VALUE"""),"M")</f>
        <v>M</v>
      </c>
      <c r="F14" s="2" t="str">
        <f>IFERROR(__xludf.DUMMYFUNCTION("""COMPUTED_VALUE"""),"No, not Hispanic or Latino")</f>
        <v>No, not Hispanic or Latino</v>
      </c>
      <c r="G14" s="2" t="str">
        <f>IFERROR(__xludf.DUMMYFUNCTION("""COMPUTED_VALUE"""),"Japanese")</f>
        <v>Japanese</v>
      </c>
      <c r="H14" s="4">
        <f>IFERROR(__xludf.DUMMYFUNCTION("""COMPUTED_VALUE"""),1031.0)</f>
        <v>1031</v>
      </c>
      <c r="I14" s="2" t="str">
        <f>IFERROR(__xludf.DUMMYFUNCTION("""COMPUTED_VALUE"""),"000308")</f>
        <v>000308</v>
      </c>
      <c r="J14" s="2" t="str">
        <f>IFERROR(__xludf.DUMMYFUNCTION("""COMPUTED_VALUE"""),"23-24")</f>
        <v>23-24</v>
      </c>
    </row>
    <row r="15">
      <c r="A15" s="2" t="str">
        <f>IFERROR(__xludf.DUMMYFUNCTION("""COMPUTED_VALUE"""),"7646139988")</f>
        <v>7646139988</v>
      </c>
      <c r="B15" s="2" t="str">
        <f>IFERROR(__xludf.DUMMYFUNCTION("""COMPUTED_VALUE"""),"Denmark")</f>
        <v>Denmark</v>
      </c>
      <c r="C15" s="2" t="str">
        <f>IFERROR(__xludf.DUMMYFUNCTION("""COMPUTED_VALUE"""),"Emma")</f>
        <v>Emma</v>
      </c>
      <c r="D15" s="4">
        <f>IFERROR(__xludf.DUMMYFUNCTION("""COMPUTED_VALUE"""),8.0)</f>
        <v>8</v>
      </c>
      <c r="E15" s="2" t="str">
        <f>IFERROR(__xludf.DUMMYFUNCTION("""COMPUTED_VALUE"""),"F")</f>
        <v>F</v>
      </c>
      <c r="F15" s="2" t="str">
        <f>IFERROR(__xludf.DUMMYFUNCTION("""COMPUTED_VALUE"""),"No, not Hispanic or Latino")</f>
        <v>No, not Hispanic or Latino</v>
      </c>
      <c r="G15" s="2" t="str">
        <f>IFERROR(__xludf.DUMMYFUNCTION("""COMPUTED_VALUE"""),"White")</f>
        <v>White</v>
      </c>
      <c r="H15" s="4">
        <f>IFERROR(__xludf.DUMMYFUNCTION("""COMPUTED_VALUE"""),1031.0)</f>
        <v>1031</v>
      </c>
      <c r="I15" s="2" t="str">
        <f>IFERROR(__xludf.DUMMYFUNCTION("""COMPUTED_VALUE"""),"000308")</f>
        <v>000308</v>
      </c>
      <c r="J15" s="2" t="str">
        <f>IFERROR(__xludf.DUMMYFUNCTION("""COMPUTED_VALUE"""),"23-24")</f>
        <v>23-24</v>
      </c>
    </row>
    <row r="16">
      <c r="A16" s="2" t="str">
        <f>IFERROR(__xludf.DUMMYFUNCTION("""COMPUTED_VALUE"""),"8451629460")</f>
        <v>8451629460</v>
      </c>
      <c r="B16" s="2" t="str">
        <f>IFERROR(__xludf.DUMMYFUNCTION("""COMPUTED_VALUE"""),"Dusinski")</f>
        <v>Dusinski</v>
      </c>
      <c r="C16" s="2" t="str">
        <f>IFERROR(__xludf.DUMMYFUNCTION("""COMPUTED_VALUE"""),"Ian")</f>
        <v>Ian</v>
      </c>
      <c r="D16" s="4">
        <f>IFERROR(__xludf.DUMMYFUNCTION("""COMPUTED_VALUE"""),8.0)</f>
        <v>8</v>
      </c>
      <c r="E16" s="2" t="str">
        <f>IFERROR(__xludf.DUMMYFUNCTION("""COMPUTED_VALUE"""),"M")</f>
        <v>M</v>
      </c>
      <c r="F16" s="2" t="str">
        <f>IFERROR(__xludf.DUMMYFUNCTION("""COMPUTED_VALUE"""),"No, not Hispanic or Latino")</f>
        <v>No, not Hispanic or Latino</v>
      </c>
      <c r="G16" s="2" t="str">
        <f>IFERROR(__xludf.DUMMYFUNCTION("""COMPUTED_VALUE"""),"White")</f>
        <v>White</v>
      </c>
      <c r="H16" s="4">
        <f>IFERROR(__xludf.DUMMYFUNCTION("""COMPUTED_VALUE"""),1030.0)</f>
        <v>1030</v>
      </c>
      <c r="I16" s="2" t="str">
        <f>IFERROR(__xludf.DUMMYFUNCTION("""COMPUTED_VALUE"""),"000308")</f>
        <v>000308</v>
      </c>
      <c r="J16" s="2" t="str">
        <f>IFERROR(__xludf.DUMMYFUNCTION("""COMPUTED_VALUE"""),"23-24")</f>
        <v>23-24</v>
      </c>
    </row>
    <row r="17">
      <c r="A17" s="2" t="str">
        <f>IFERROR(__xludf.DUMMYFUNCTION("""COMPUTED_VALUE"""),"7095756003")</f>
        <v>7095756003</v>
      </c>
      <c r="B17" s="2" t="str">
        <f>IFERROR(__xludf.DUMMYFUNCTION("""COMPUTED_VALUE"""),"Evens")</f>
        <v>Evens</v>
      </c>
      <c r="C17" s="2" t="str">
        <f>IFERROR(__xludf.DUMMYFUNCTION("""COMPUTED_VALUE"""),"Nathaniel")</f>
        <v>Nathaniel</v>
      </c>
      <c r="D17" s="4">
        <f>IFERROR(__xludf.DUMMYFUNCTION("""COMPUTED_VALUE"""),8.0)</f>
        <v>8</v>
      </c>
      <c r="E17" s="2" t="str">
        <f>IFERROR(__xludf.DUMMYFUNCTION("""COMPUTED_VALUE"""),"M")</f>
        <v>M</v>
      </c>
      <c r="F17" s="2" t="str">
        <f>IFERROR(__xludf.DUMMYFUNCTION("""COMPUTED_VALUE"""),"No, not Hispanic or Latino")</f>
        <v>No, not Hispanic or Latino</v>
      </c>
      <c r="G17" s="2" t="str">
        <f>IFERROR(__xludf.DUMMYFUNCTION("""COMPUTED_VALUE"""),"White")</f>
        <v>White</v>
      </c>
      <c r="H17" s="4">
        <f>IFERROR(__xludf.DUMMYFUNCTION("""COMPUTED_VALUE"""),1031.0)</f>
        <v>1031</v>
      </c>
      <c r="I17" s="2" t="str">
        <f>IFERROR(__xludf.DUMMYFUNCTION("""COMPUTED_VALUE"""),"000308")</f>
        <v>000308</v>
      </c>
      <c r="J17" s="2" t="str">
        <f>IFERROR(__xludf.DUMMYFUNCTION("""COMPUTED_VALUE"""),"23-24")</f>
        <v>23-24</v>
      </c>
    </row>
    <row r="18">
      <c r="A18" s="2" t="str">
        <f>IFERROR(__xludf.DUMMYFUNCTION("""COMPUTED_VALUE"""),"1008364173")</f>
        <v>1008364173</v>
      </c>
      <c r="B18" s="2" t="str">
        <f>IFERROR(__xludf.DUMMYFUNCTION("""COMPUTED_VALUE"""),"Fuette")</f>
        <v>Fuette</v>
      </c>
      <c r="C18" s="2" t="str">
        <f>IFERROR(__xludf.DUMMYFUNCTION("""COMPUTED_VALUE"""),"Isla")</f>
        <v>Isla</v>
      </c>
      <c r="D18" s="4">
        <f>IFERROR(__xludf.DUMMYFUNCTION("""COMPUTED_VALUE"""),8.0)</f>
        <v>8</v>
      </c>
      <c r="E18" s="2" t="str">
        <f>IFERROR(__xludf.DUMMYFUNCTION("""COMPUTED_VALUE"""),"F")</f>
        <v>F</v>
      </c>
      <c r="F18" s="2" t="str">
        <f>IFERROR(__xludf.DUMMYFUNCTION("""COMPUTED_VALUE"""),"No, not Hispanic or Latino")</f>
        <v>No, not Hispanic or Latino</v>
      </c>
      <c r="G18" s="2" t="str">
        <f>IFERROR(__xludf.DUMMYFUNCTION("""COMPUTED_VALUE"""),"Filipino")</f>
        <v>Filipino</v>
      </c>
      <c r="H18" s="4">
        <f>IFERROR(__xludf.DUMMYFUNCTION("""COMPUTED_VALUE"""),1031.0)</f>
        <v>1031</v>
      </c>
      <c r="I18" s="2" t="str">
        <f>IFERROR(__xludf.DUMMYFUNCTION("""COMPUTED_VALUE"""),"000308")</f>
        <v>000308</v>
      </c>
      <c r="J18" s="2" t="str">
        <f>IFERROR(__xludf.DUMMYFUNCTION("""COMPUTED_VALUE"""),"23-24")</f>
        <v>23-24</v>
      </c>
    </row>
    <row r="19">
      <c r="A19" s="2" t="str">
        <f>IFERROR(__xludf.DUMMYFUNCTION("""COMPUTED_VALUE"""),"5518141154")</f>
        <v>5518141154</v>
      </c>
      <c r="B19" s="2" t="str">
        <f>IFERROR(__xludf.DUMMYFUNCTION("""COMPUTED_VALUE"""),"Gan")</f>
        <v>Gan</v>
      </c>
      <c r="C19" s="2" t="str">
        <f>IFERROR(__xludf.DUMMYFUNCTION("""COMPUTED_VALUE"""),"Tina")</f>
        <v>Tina</v>
      </c>
      <c r="D19" s="4">
        <f>IFERROR(__xludf.DUMMYFUNCTION("""COMPUTED_VALUE"""),8.0)</f>
        <v>8</v>
      </c>
      <c r="E19" s="2" t="str">
        <f>IFERROR(__xludf.DUMMYFUNCTION("""COMPUTED_VALUE"""),"F")</f>
        <v>F</v>
      </c>
      <c r="F19" s="2" t="str">
        <f>IFERROR(__xludf.DUMMYFUNCTION("""COMPUTED_VALUE"""),"No, not Hispanic or Latino")</f>
        <v>No, not Hispanic or Latino</v>
      </c>
      <c r="G19" s="2" t="str">
        <f>IFERROR(__xludf.DUMMYFUNCTION("""COMPUTED_VALUE"""),"Chinese")</f>
        <v>Chinese</v>
      </c>
      <c r="H19" s="4">
        <f>IFERROR(__xludf.DUMMYFUNCTION("""COMPUTED_VALUE"""),1030.0)</f>
        <v>1030</v>
      </c>
      <c r="I19" s="2" t="str">
        <f>IFERROR(__xludf.DUMMYFUNCTION("""COMPUTED_VALUE"""),"000308")</f>
        <v>000308</v>
      </c>
      <c r="J19" s="2" t="str">
        <f>IFERROR(__xludf.DUMMYFUNCTION("""COMPUTED_VALUE"""),"23-24")</f>
        <v>23-24</v>
      </c>
    </row>
    <row r="20">
      <c r="A20" s="2" t="str">
        <f>IFERROR(__xludf.DUMMYFUNCTION("""COMPUTED_VALUE"""),"7076633951")</f>
        <v>7076633951</v>
      </c>
      <c r="B20" s="2" t="str">
        <f>IFERROR(__xludf.DUMMYFUNCTION("""COMPUTED_VALUE"""),"Ganorkar")</f>
        <v>Ganorkar</v>
      </c>
      <c r="C20" s="2" t="str">
        <f>IFERROR(__xludf.DUMMYFUNCTION("""COMPUTED_VALUE"""),"Madhukar")</f>
        <v>Madhukar</v>
      </c>
      <c r="D20" s="4">
        <f>IFERROR(__xludf.DUMMYFUNCTION("""COMPUTED_VALUE"""),8.0)</f>
        <v>8</v>
      </c>
      <c r="E20" s="2" t="str">
        <f>IFERROR(__xludf.DUMMYFUNCTION("""COMPUTED_VALUE"""),"M")</f>
        <v>M</v>
      </c>
      <c r="F20" s="2" t="str">
        <f>IFERROR(__xludf.DUMMYFUNCTION("""COMPUTED_VALUE"""),"No, not Hispanic or Latino")</f>
        <v>No, not Hispanic or Latino</v>
      </c>
      <c r="G20" s="2" t="str">
        <f>IFERROR(__xludf.DUMMYFUNCTION("""COMPUTED_VALUE"""),"White")</f>
        <v>White</v>
      </c>
      <c r="H20" s="4">
        <f>IFERROR(__xludf.DUMMYFUNCTION("""COMPUTED_VALUE"""),1030.0)</f>
        <v>1030</v>
      </c>
      <c r="I20" s="2" t="str">
        <f>IFERROR(__xludf.DUMMYFUNCTION("""COMPUTED_VALUE"""),"000308")</f>
        <v>000308</v>
      </c>
      <c r="J20" s="2" t="str">
        <f>IFERROR(__xludf.DUMMYFUNCTION("""COMPUTED_VALUE"""),"23-24")</f>
        <v>23-24</v>
      </c>
    </row>
    <row r="21">
      <c r="A21" s="2" t="str">
        <f>IFERROR(__xludf.DUMMYFUNCTION("""COMPUTED_VALUE"""),"9607691913")</f>
        <v>9607691913</v>
      </c>
      <c r="B21" s="2" t="str">
        <f>IFERROR(__xludf.DUMMYFUNCTION("""COMPUTED_VALUE"""),"Gazanchiyants")</f>
        <v>Gazanchiyants</v>
      </c>
      <c r="C21" s="2" t="str">
        <f>IFERROR(__xludf.DUMMYFUNCTION("""COMPUTED_VALUE"""),"Lukyan")</f>
        <v>Lukyan</v>
      </c>
      <c r="D21" s="4">
        <f>IFERROR(__xludf.DUMMYFUNCTION("""COMPUTED_VALUE"""),8.0)</f>
        <v>8</v>
      </c>
      <c r="E21" s="2" t="str">
        <f>IFERROR(__xludf.DUMMYFUNCTION("""COMPUTED_VALUE"""),"M")</f>
        <v>M</v>
      </c>
      <c r="F21" s="2" t="str">
        <f>IFERROR(__xludf.DUMMYFUNCTION("""COMPUTED_VALUE"""),"No, not Hispanic or Latino")</f>
        <v>No, not Hispanic or Latino</v>
      </c>
      <c r="G21" s="2" t="str">
        <f>IFERROR(__xludf.DUMMYFUNCTION("""COMPUTED_VALUE"""),"White")</f>
        <v>White</v>
      </c>
      <c r="H21" s="4">
        <f>IFERROR(__xludf.DUMMYFUNCTION("""COMPUTED_VALUE"""),1030.0)</f>
        <v>1030</v>
      </c>
      <c r="I21" s="2" t="str">
        <f>IFERROR(__xludf.DUMMYFUNCTION("""COMPUTED_VALUE"""),"000308")</f>
        <v>000308</v>
      </c>
      <c r="J21" s="2" t="str">
        <f>IFERROR(__xludf.DUMMYFUNCTION("""COMPUTED_VALUE"""),"23-24")</f>
        <v>23-24</v>
      </c>
    </row>
    <row r="22">
      <c r="A22" s="2" t="str">
        <f>IFERROR(__xludf.DUMMYFUNCTION("""COMPUTED_VALUE"""),"7947451743")</f>
        <v>7947451743</v>
      </c>
      <c r="B22" s="2" t="str">
        <f>IFERROR(__xludf.DUMMYFUNCTION("""COMPUTED_VALUE"""),"Gray")</f>
        <v>Gray</v>
      </c>
      <c r="C22" s="2" t="str">
        <f>IFERROR(__xludf.DUMMYFUNCTION("""COMPUTED_VALUE"""),"Lincoln")</f>
        <v>Lincoln</v>
      </c>
      <c r="D22" s="4">
        <f>IFERROR(__xludf.DUMMYFUNCTION("""COMPUTED_VALUE"""),8.0)</f>
        <v>8</v>
      </c>
      <c r="E22" s="2" t="str">
        <f>IFERROR(__xludf.DUMMYFUNCTION("""COMPUTED_VALUE"""),"M")</f>
        <v>M</v>
      </c>
      <c r="F22" s="2" t="str">
        <f>IFERROR(__xludf.DUMMYFUNCTION("""COMPUTED_VALUE"""),"No, not Hispanic or Latino")</f>
        <v>No, not Hispanic or Latino</v>
      </c>
      <c r="G22" s="2" t="str">
        <f>IFERROR(__xludf.DUMMYFUNCTION("""COMPUTED_VALUE"""),"White")</f>
        <v>White</v>
      </c>
      <c r="H22" s="4">
        <f>IFERROR(__xludf.DUMMYFUNCTION("""COMPUTED_VALUE"""),1031.0)</f>
        <v>1031</v>
      </c>
      <c r="I22" s="2" t="str">
        <f>IFERROR(__xludf.DUMMYFUNCTION("""COMPUTED_VALUE"""),"000308")</f>
        <v>000308</v>
      </c>
      <c r="J22" s="2" t="str">
        <f>IFERROR(__xludf.DUMMYFUNCTION("""COMPUTED_VALUE"""),"23-24")</f>
        <v>23-24</v>
      </c>
    </row>
    <row r="23">
      <c r="A23" s="2" t="str">
        <f>IFERROR(__xludf.DUMMYFUNCTION("""COMPUTED_VALUE"""),"6651159524")</f>
        <v>6651159524</v>
      </c>
      <c r="B23" s="2" t="str">
        <f>IFERROR(__xludf.DUMMYFUNCTION("""COMPUTED_VALUE"""),"Grinchenko")</f>
        <v>Grinchenko</v>
      </c>
      <c r="C23" s="2" t="str">
        <f>IFERROR(__xludf.DUMMYFUNCTION("""COMPUTED_VALUE"""),"Vadim")</f>
        <v>Vadim</v>
      </c>
      <c r="D23" s="4">
        <f>IFERROR(__xludf.DUMMYFUNCTION("""COMPUTED_VALUE"""),8.0)</f>
        <v>8</v>
      </c>
      <c r="E23" s="2" t="str">
        <f>IFERROR(__xludf.DUMMYFUNCTION("""COMPUTED_VALUE"""),"M")</f>
        <v>M</v>
      </c>
      <c r="F23" s="2" t="str">
        <f>IFERROR(__xludf.DUMMYFUNCTION("""COMPUTED_VALUE"""),"No, not Hispanic or Latino")</f>
        <v>No, not Hispanic or Latino</v>
      </c>
      <c r="G23" s="2" t="str">
        <f>IFERROR(__xludf.DUMMYFUNCTION("""COMPUTED_VALUE"""),"White")</f>
        <v>White</v>
      </c>
      <c r="H23" s="4">
        <f>IFERROR(__xludf.DUMMYFUNCTION("""COMPUTED_VALUE"""),1030.0)</f>
        <v>1030</v>
      </c>
      <c r="I23" s="2" t="str">
        <f>IFERROR(__xludf.DUMMYFUNCTION("""COMPUTED_VALUE"""),"000308")</f>
        <v>000308</v>
      </c>
      <c r="J23" s="2" t="str">
        <f>IFERROR(__xludf.DUMMYFUNCTION("""COMPUTED_VALUE"""),"23-24")</f>
        <v>23-24</v>
      </c>
    </row>
    <row r="24">
      <c r="A24" s="2" t="str">
        <f>IFERROR(__xludf.DUMMYFUNCTION("""COMPUTED_VALUE"""),"5998181872")</f>
        <v>5998181872</v>
      </c>
      <c r="B24" s="2" t="str">
        <f>IFERROR(__xludf.DUMMYFUNCTION("""COMPUTED_VALUE"""),"Hadden")</f>
        <v>Hadden</v>
      </c>
      <c r="C24" s="2" t="str">
        <f>IFERROR(__xludf.DUMMYFUNCTION("""COMPUTED_VALUE"""),"Emilio")</f>
        <v>Emilio</v>
      </c>
      <c r="D24" s="4">
        <f>IFERROR(__xludf.DUMMYFUNCTION("""COMPUTED_VALUE"""),8.0)</f>
        <v>8</v>
      </c>
      <c r="E24" s="2" t="str">
        <f>IFERROR(__xludf.DUMMYFUNCTION("""COMPUTED_VALUE"""),"M")</f>
        <v>M</v>
      </c>
      <c r="F24" s="2" t="str">
        <f>IFERROR(__xludf.DUMMYFUNCTION("""COMPUTED_VALUE"""),"Yes, Hispanic or Latino")</f>
        <v>Yes, Hispanic or Latino</v>
      </c>
      <c r="G24" s="2" t="str">
        <f>IFERROR(__xludf.DUMMYFUNCTION("""COMPUTED_VALUE"""),"White")</f>
        <v>White</v>
      </c>
      <c r="H24" s="4">
        <f>IFERROR(__xludf.DUMMYFUNCTION("""COMPUTED_VALUE"""),1031.0)</f>
        <v>1031</v>
      </c>
      <c r="I24" s="2" t="str">
        <f>IFERROR(__xludf.DUMMYFUNCTION("""COMPUTED_VALUE"""),"000308")</f>
        <v>000308</v>
      </c>
      <c r="J24" s="2" t="str">
        <f>IFERROR(__xludf.DUMMYFUNCTION("""COMPUTED_VALUE"""),"23-24")</f>
        <v>23-24</v>
      </c>
    </row>
    <row r="25">
      <c r="A25" s="2" t="str">
        <f>IFERROR(__xludf.DUMMYFUNCTION("""COMPUTED_VALUE"""),"7510316602")</f>
        <v>7510316602</v>
      </c>
      <c r="B25" s="2" t="str">
        <f>IFERROR(__xludf.DUMMYFUNCTION("""COMPUTED_VALUE"""),"Hamelin")</f>
        <v>Hamelin</v>
      </c>
      <c r="C25" s="2" t="str">
        <f>IFERROR(__xludf.DUMMYFUNCTION("""COMPUTED_VALUE"""),"Mei")</f>
        <v>Mei</v>
      </c>
      <c r="D25" s="4">
        <f>IFERROR(__xludf.DUMMYFUNCTION("""COMPUTED_VALUE"""),8.0)</f>
        <v>8</v>
      </c>
      <c r="E25" s="2" t="str">
        <f>IFERROR(__xludf.DUMMYFUNCTION("""COMPUTED_VALUE"""),"F")</f>
        <v>F</v>
      </c>
      <c r="F25" s="2" t="str">
        <f>IFERROR(__xludf.DUMMYFUNCTION("""COMPUTED_VALUE"""),"No, not Hispanic or Latino")</f>
        <v>No, not Hispanic or Latino</v>
      </c>
      <c r="G25" s="2" t="str">
        <f>IFERROR(__xludf.DUMMYFUNCTION("""COMPUTED_VALUE"""),"White")</f>
        <v>White</v>
      </c>
      <c r="H25" s="4">
        <f>IFERROR(__xludf.DUMMYFUNCTION("""COMPUTED_VALUE"""),1030.0)</f>
        <v>1030</v>
      </c>
      <c r="I25" s="2" t="str">
        <f>IFERROR(__xludf.DUMMYFUNCTION("""COMPUTED_VALUE"""),"000308")</f>
        <v>000308</v>
      </c>
      <c r="J25" s="2" t="str">
        <f>IFERROR(__xludf.DUMMYFUNCTION("""COMPUTED_VALUE"""),"23-24")</f>
        <v>23-24</v>
      </c>
    </row>
    <row r="26">
      <c r="A26" s="2" t="str">
        <f>IFERROR(__xludf.DUMMYFUNCTION("""COMPUTED_VALUE"""),"8622758744")</f>
        <v>8622758744</v>
      </c>
      <c r="B26" s="2" t="str">
        <f>IFERROR(__xludf.DUMMYFUNCTION("""COMPUTED_VALUE"""),"Henry")</f>
        <v>Henry</v>
      </c>
      <c r="C26" s="2" t="str">
        <f>IFERROR(__xludf.DUMMYFUNCTION("""COMPUTED_VALUE"""),"Ayla")</f>
        <v>Ayla</v>
      </c>
      <c r="D26" s="4">
        <f>IFERROR(__xludf.DUMMYFUNCTION("""COMPUTED_VALUE"""),8.0)</f>
        <v>8</v>
      </c>
      <c r="E26" s="2" t="str">
        <f>IFERROR(__xludf.DUMMYFUNCTION("""COMPUTED_VALUE"""),"F")</f>
        <v>F</v>
      </c>
      <c r="F26" s="2" t="str">
        <f>IFERROR(__xludf.DUMMYFUNCTION("""COMPUTED_VALUE"""),"No, not Hispanic or Latino")</f>
        <v>No, not Hispanic or Latino</v>
      </c>
      <c r="G26" s="2" t="str">
        <f>IFERROR(__xludf.DUMMYFUNCTION("""COMPUTED_VALUE"""),"White")</f>
        <v>White</v>
      </c>
      <c r="H26" s="4">
        <f>IFERROR(__xludf.DUMMYFUNCTION("""COMPUTED_VALUE"""),1030.0)</f>
        <v>1030</v>
      </c>
      <c r="I26" s="2" t="str">
        <f>IFERROR(__xludf.DUMMYFUNCTION("""COMPUTED_VALUE"""),"000308")</f>
        <v>000308</v>
      </c>
      <c r="J26" s="2" t="str">
        <f>IFERROR(__xludf.DUMMYFUNCTION("""COMPUTED_VALUE"""),"23-24")</f>
        <v>23-24</v>
      </c>
    </row>
    <row r="27">
      <c r="A27" s="2" t="str">
        <f>IFERROR(__xludf.DUMMYFUNCTION("""COMPUTED_VALUE"""),"2284886968")</f>
        <v>2284886968</v>
      </c>
      <c r="B27" s="2" t="str">
        <f>IFERROR(__xludf.DUMMYFUNCTION("""COMPUTED_VALUE"""),"Iyer")</f>
        <v>Iyer</v>
      </c>
      <c r="C27" s="2" t="str">
        <f>IFERROR(__xludf.DUMMYFUNCTION("""COMPUTED_VALUE"""),"Bodhi")</f>
        <v>Bodhi</v>
      </c>
      <c r="D27" s="4">
        <f>IFERROR(__xludf.DUMMYFUNCTION("""COMPUTED_VALUE"""),8.0)</f>
        <v>8</v>
      </c>
      <c r="E27" s="2" t="str">
        <f>IFERROR(__xludf.DUMMYFUNCTION("""COMPUTED_VALUE"""),"M")</f>
        <v>M</v>
      </c>
      <c r="F27" s="2" t="str">
        <f>IFERROR(__xludf.DUMMYFUNCTION("""COMPUTED_VALUE"""),"No, not Hispanic or Latino")</f>
        <v>No, not Hispanic or Latino</v>
      </c>
      <c r="G27" s="2" t="str">
        <f>IFERROR(__xludf.DUMMYFUNCTION("""COMPUTED_VALUE"""),"Asian Indian")</f>
        <v>Asian Indian</v>
      </c>
      <c r="H27" s="4">
        <f>IFERROR(__xludf.DUMMYFUNCTION("""COMPUTED_VALUE"""),1031.0)</f>
        <v>1031</v>
      </c>
      <c r="I27" s="2" t="str">
        <f>IFERROR(__xludf.DUMMYFUNCTION("""COMPUTED_VALUE"""),"000308")</f>
        <v>000308</v>
      </c>
      <c r="J27" s="2" t="str">
        <f>IFERROR(__xludf.DUMMYFUNCTION("""COMPUTED_VALUE"""),"23-24")</f>
        <v>23-24</v>
      </c>
    </row>
    <row r="28">
      <c r="A28" s="2" t="str">
        <f>IFERROR(__xludf.DUMMYFUNCTION("""COMPUTED_VALUE"""),"7187902255")</f>
        <v>7187902255</v>
      </c>
      <c r="B28" s="2" t="str">
        <f>IFERROR(__xludf.DUMMYFUNCTION("""COMPUTED_VALUE"""),"Kemp")</f>
        <v>Kemp</v>
      </c>
      <c r="C28" s="2" t="str">
        <f>IFERROR(__xludf.DUMMYFUNCTION("""COMPUTED_VALUE"""),"Midori")</f>
        <v>Midori</v>
      </c>
      <c r="D28" s="4">
        <f>IFERROR(__xludf.DUMMYFUNCTION("""COMPUTED_VALUE"""),8.0)</f>
        <v>8</v>
      </c>
      <c r="E28" s="2" t="str">
        <f>IFERROR(__xludf.DUMMYFUNCTION("""COMPUTED_VALUE"""),"F")</f>
        <v>F</v>
      </c>
      <c r="F28" s="2" t="str">
        <f>IFERROR(__xludf.DUMMYFUNCTION("""COMPUTED_VALUE"""),"No, not Hispanic or Latino")</f>
        <v>No, not Hispanic or Latino</v>
      </c>
      <c r="G28" s="2" t="str">
        <f>IFERROR(__xludf.DUMMYFUNCTION("""COMPUTED_VALUE"""),"Japanese")</f>
        <v>Japanese</v>
      </c>
      <c r="H28" s="4">
        <f>IFERROR(__xludf.DUMMYFUNCTION("""COMPUTED_VALUE"""),1030.0)</f>
        <v>1030</v>
      </c>
      <c r="I28" s="2" t="str">
        <f>IFERROR(__xludf.DUMMYFUNCTION("""COMPUTED_VALUE"""),"000308")</f>
        <v>000308</v>
      </c>
      <c r="J28" s="2" t="str">
        <f>IFERROR(__xludf.DUMMYFUNCTION("""COMPUTED_VALUE"""),"23-24")</f>
        <v>23-24</v>
      </c>
    </row>
    <row r="29">
      <c r="A29" s="2" t="str">
        <f>IFERROR(__xludf.DUMMYFUNCTION("""COMPUTED_VALUE"""),"4592007854")</f>
        <v>4592007854</v>
      </c>
      <c r="B29" s="2" t="str">
        <f>IFERROR(__xludf.DUMMYFUNCTION("""COMPUTED_VALUE"""),"Kurlan")</f>
        <v>Kurlan</v>
      </c>
      <c r="C29" s="2" t="str">
        <f>IFERROR(__xludf.DUMMYFUNCTION("""COMPUTED_VALUE"""),"Sophie")</f>
        <v>Sophie</v>
      </c>
      <c r="D29" s="4">
        <f>IFERROR(__xludf.DUMMYFUNCTION("""COMPUTED_VALUE"""),8.0)</f>
        <v>8</v>
      </c>
      <c r="E29" s="2" t="str">
        <f>IFERROR(__xludf.DUMMYFUNCTION("""COMPUTED_VALUE"""),"F")</f>
        <v>F</v>
      </c>
      <c r="F29" s="2" t="str">
        <f>IFERROR(__xludf.DUMMYFUNCTION("""COMPUTED_VALUE"""),"No, not Hispanic or Latino")</f>
        <v>No, not Hispanic or Latino</v>
      </c>
      <c r="G29" s="2" t="str">
        <f>IFERROR(__xludf.DUMMYFUNCTION("""COMPUTED_VALUE"""),"White")</f>
        <v>White</v>
      </c>
      <c r="H29" s="4">
        <f>IFERROR(__xludf.DUMMYFUNCTION("""COMPUTED_VALUE"""),1030.0)</f>
        <v>1030</v>
      </c>
      <c r="I29" s="2" t="str">
        <f>IFERROR(__xludf.DUMMYFUNCTION("""COMPUTED_VALUE"""),"000308")</f>
        <v>000308</v>
      </c>
      <c r="J29" s="2" t="str">
        <f>IFERROR(__xludf.DUMMYFUNCTION("""COMPUTED_VALUE"""),"23-24")</f>
        <v>23-24</v>
      </c>
    </row>
    <row r="30">
      <c r="A30" s="2" t="str">
        <f>IFERROR(__xludf.DUMMYFUNCTION("""COMPUTED_VALUE"""),"8253743747")</f>
        <v>8253743747</v>
      </c>
      <c r="B30" s="2" t="str">
        <f>IFERROR(__xludf.DUMMYFUNCTION("""COMPUTED_VALUE"""),"Lendler")</f>
        <v>Lendler</v>
      </c>
      <c r="C30" s="2" t="str">
        <f>IFERROR(__xludf.DUMMYFUNCTION("""COMPUTED_VALUE"""),"Dylan")</f>
        <v>Dylan</v>
      </c>
      <c r="D30" s="4">
        <f>IFERROR(__xludf.DUMMYFUNCTION("""COMPUTED_VALUE"""),8.0)</f>
        <v>8</v>
      </c>
      <c r="E30" s="2" t="str">
        <f>IFERROR(__xludf.DUMMYFUNCTION("""COMPUTED_VALUE"""),"M")</f>
        <v>M</v>
      </c>
      <c r="F30" s="2" t="str">
        <f>IFERROR(__xludf.DUMMYFUNCTION("""COMPUTED_VALUE"""),"No, not Hispanic or Latino")</f>
        <v>No, not Hispanic or Latino</v>
      </c>
      <c r="G30" s="2" t="str">
        <f>IFERROR(__xludf.DUMMYFUNCTION("""COMPUTED_VALUE"""),"White")</f>
        <v>White</v>
      </c>
      <c r="H30" s="4">
        <f>IFERROR(__xludf.DUMMYFUNCTION("""COMPUTED_VALUE"""),1031.0)</f>
        <v>1031</v>
      </c>
      <c r="I30" s="2" t="str">
        <f>IFERROR(__xludf.DUMMYFUNCTION("""COMPUTED_VALUE"""),"000308")</f>
        <v>000308</v>
      </c>
      <c r="J30" s="2" t="str">
        <f>IFERROR(__xludf.DUMMYFUNCTION("""COMPUTED_VALUE"""),"23-24")</f>
        <v>23-24</v>
      </c>
    </row>
    <row r="31">
      <c r="A31" s="2" t="str">
        <f>IFERROR(__xludf.DUMMYFUNCTION("""COMPUTED_VALUE"""),"9420870150")</f>
        <v>9420870150</v>
      </c>
      <c r="B31" s="2" t="str">
        <f>IFERROR(__xludf.DUMMYFUNCTION("""COMPUTED_VALUE"""),"Levy")</f>
        <v>Levy</v>
      </c>
      <c r="C31" s="2" t="str">
        <f>IFERROR(__xludf.DUMMYFUNCTION("""COMPUTED_VALUE"""),"Gabrian")</f>
        <v>Gabrian</v>
      </c>
      <c r="D31" s="4">
        <f>IFERROR(__xludf.DUMMYFUNCTION("""COMPUTED_VALUE"""),8.0)</f>
        <v>8</v>
      </c>
      <c r="E31" s="2" t="str">
        <f>IFERROR(__xludf.DUMMYFUNCTION("""COMPUTED_VALUE"""),"M")</f>
        <v>M</v>
      </c>
      <c r="F31" s="2" t="str">
        <f>IFERROR(__xludf.DUMMYFUNCTION("""COMPUTED_VALUE"""),"Yes, Hispanic or Latino")</f>
        <v>Yes, Hispanic or Latino</v>
      </c>
      <c r="G31" s="2" t="str">
        <f>IFERROR(__xludf.DUMMYFUNCTION("""COMPUTED_VALUE"""),"White")</f>
        <v>White</v>
      </c>
      <c r="H31" s="4">
        <f>IFERROR(__xludf.DUMMYFUNCTION("""COMPUTED_VALUE"""),1031.0)</f>
        <v>1031</v>
      </c>
      <c r="I31" s="2" t="str">
        <f>IFERROR(__xludf.DUMMYFUNCTION("""COMPUTED_VALUE"""),"000308")</f>
        <v>000308</v>
      </c>
      <c r="J31" s="2" t="str">
        <f>IFERROR(__xludf.DUMMYFUNCTION("""COMPUTED_VALUE"""),"23-24")</f>
        <v>23-24</v>
      </c>
    </row>
    <row r="32">
      <c r="A32" s="2" t="str">
        <f>IFERROR(__xludf.DUMMYFUNCTION("""COMPUTED_VALUE"""),"5924738867")</f>
        <v>5924738867</v>
      </c>
      <c r="B32" s="2" t="str">
        <f>IFERROR(__xludf.DUMMYFUNCTION("""COMPUTED_VALUE"""),"Lewis")</f>
        <v>Lewis</v>
      </c>
      <c r="C32" s="2" t="str">
        <f>IFERROR(__xludf.DUMMYFUNCTION("""COMPUTED_VALUE"""),"Nathaniel")</f>
        <v>Nathaniel</v>
      </c>
      <c r="D32" s="4">
        <f>IFERROR(__xludf.DUMMYFUNCTION("""COMPUTED_VALUE"""),8.0)</f>
        <v>8</v>
      </c>
      <c r="E32" s="2" t="str">
        <f>IFERROR(__xludf.DUMMYFUNCTION("""COMPUTED_VALUE"""),"M")</f>
        <v>M</v>
      </c>
      <c r="F32" s="2" t="str">
        <f>IFERROR(__xludf.DUMMYFUNCTION("""COMPUTED_VALUE"""),"No, not Hispanic or Latino")</f>
        <v>No, not Hispanic or Latino</v>
      </c>
      <c r="G32" s="2" t="str">
        <f>IFERROR(__xludf.DUMMYFUNCTION("""COMPUTED_VALUE"""),"White")</f>
        <v>White</v>
      </c>
      <c r="H32" s="4">
        <f>IFERROR(__xludf.DUMMYFUNCTION("""COMPUTED_VALUE"""),1030.0)</f>
        <v>1030</v>
      </c>
      <c r="I32" s="2" t="str">
        <f>IFERROR(__xludf.DUMMYFUNCTION("""COMPUTED_VALUE"""),"000308")</f>
        <v>000308</v>
      </c>
      <c r="J32" s="2" t="str">
        <f>IFERROR(__xludf.DUMMYFUNCTION("""COMPUTED_VALUE"""),"23-24")</f>
        <v>23-24</v>
      </c>
    </row>
    <row r="33">
      <c r="A33" s="2" t="str">
        <f>IFERROR(__xludf.DUMMYFUNCTION("""COMPUTED_VALUE"""),"5609329503")</f>
        <v>5609329503</v>
      </c>
      <c r="B33" s="2" t="str">
        <f>IFERROR(__xludf.DUMMYFUNCTION("""COMPUTED_VALUE"""),"Liu")</f>
        <v>Liu</v>
      </c>
      <c r="C33" s="2" t="str">
        <f>IFERROR(__xludf.DUMMYFUNCTION("""COMPUTED_VALUE"""),"Narissa")</f>
        <v>Narissa</v>
      </c>
      <c r="D33" s="4">
        <f>IFERROR(__xludf.DUMMYFUNCTION("""COMPUTED_VALUE"""),8.0)</f>
        <v>8</v>
      </c>
      <c r="E33" s="2" t="str">
        <f>IFERROR(__xludf.DUMMYFUNCTION("""COMPUTED_VALUE"""),"F")</f>
        <v>F</v>
      </c>
      <c r="F33" s="2" t="str">
        <f>IFERROR(__xludf.DUMMYFUNCTION("""COMPUTED_VALUE"""),"No, not Hispanic or Latino")</f>
        <v>No, not Hispanic or Latino</v>
      </c>
      <c r="G33" s="2" t="str">
        <f>IFERROR(__xludf.DUMMYFUNCTION("""COMPUTED_VALUE"""),"Chinese")</f>
        <v>Chinese</v>
      </c>
      <c r="H33" s="4">
        <f>IFERROR(__xludf.DUMMYFUNCTION("""COMPUTED_VALUE"""),1031.0)</f>
        <v>1031</v>
      </c>
      <c r="I33" s="2" t="str">
        <f>IFERROR(__xludf.DUMMYFUNCTION("""COMPUTED_VALUE"""),"000308")</f>
        <v>000308</v>
      </c>
      <c r="J33" s="2" t="str">
        <f>IFERROR(__xludf.DUMMYFUNCTION("""COMPUTED_VALUE"""),"23-24")</f>
        <v>23-24</v>
      </c>
    </row>
    <row r="34">
      <c r="A34" s="2" t="str">
        <f>IFERROR(__xludf.DUMMYFUNCTION("""COMPUTED_VALUE"""),"4762852648")</f>
        <v>4762852648</v>
      </c>
      <c r="B34" s="2" t="str">
        <f>IFERROR(__xludf.DUMMYFUNCTION("""COMPUTED_VALUE"""),"Ma")</f>
        <v>Ma</v>
      </c>
      <c r="C34" s="2" t="str">
        <f>IFERROR(__xludf.DUMMYFUNCTION("""COMPUTED_VALUE"""),"Joseph")</f>
        <v>Joseph</v>
      </c>
      <c r="D34" s="4">
        <f>IFERROR(__xludf.DUMMYFUNCTION("""COMPUTED_VALUE"""),8.0)</f>
        <v>8</v>
      </c>
      <c r="E34" s="2" t="str">
        <f>IFERROR(__xludf.DUMMYFUNCTION("""COMPUTED_VALUE"""),"M")</f>
        <v>M</v>
      </c>
      <c r="F34" s="2" t="str">
        <f>IFERROR(__xludf.DUMMYFUNCTION("""COMPUTED_VALUE"""),"No, not Hispanic or Latino")</f>
        <v>No, not Hispanic or Latino</v>
      </c>
      <c r="G34" s="2" t="str">
        <f>IFERROR(__xludf.DUMMYFUNCTION("""COMPUTED_VALUE"""),"Chinese")</f>
        <v>Chinese</v>
      </c>
      <c r="H34" s="4">
        <f>IFERROR(__xludf.DUMMYFUNCTION("""COMPUTED_VALUE"""),1031.0)</f>
        <v>1031</v>
      </c>
      <c r="I34" s="2" t="str">
        <f>IFERROR(__xludf.DUMMYFUNCTION("""COMPUTED_VALUE"""),"000308")</f>
        <v>000308</v>
      </c>
      <c r="J34" s="2" t="str">
        <f>IFERROR(__xludf.DUMMYFUNCTION("""COMPUTED_VALUE"""),"23-24")</f>
        <v>23-24</v>
      </c>
    </row>
    <row r="35">
      <c r="A35" s="2" t="str">
        <f>IFERROR(__xludf.DUMMYFUNCTION("""COMPUTED_VALUE"""),"2369426477")</f>
        <v>2369426477</v>
      </c>
      <c r="B35" s="2" t="str">
        <f>IFERROR(__xludf.DUMMYFUNCTION("""COMPUTED_VALUE"""),"Marin")</f>
        <v>Marin</v>
      </c>
      <c r="C35" s="2" t="str">
        <f>IFERROR(__xludf.DUMMYFUNCTION("""COMPUTED_VALUE"""),"Ava")</f>
        <v>Ava</v>
      </c>
      <c r="D35" s="4">
        <f>IFERROR(__xludf.DUMMYFUNCTION("""COMPUTED_VALUE"""),8.0)</f>
        <v>8</v>
      </c>
      <c r="E35" s="2" t="str">
        <f>IFERROR(__xludf.DUMMYFUNCTION("""COMPUTED_VALUE"""),"F")</f>
        <v>F</v>
      </c>
      <c r="F35" s="2" t="str">
        <f>IFERROR(__xludf.DUMMYFUNCTION("""COMPUTED_VALUE"""),"No, not Hispanic or Latino")</f>
        <v>No, not Hispanic or Latino</v>
      </c>
      <c r="G35" s="2" t="str">
        <f>IFERROR(__xludf.DUMMYFUNCTION("""COMPUTED_VALUE"""),"White")</f>
        <v>White</v>
      </c>
      <c r="H35" s="4">
        <f>IFERROR(__xludf.DUMMYFUNCTION("""COMPUTED_VALUE"""),1031.0)</f>
        <v>1031</v>
      </c>
      <c r="I35" s="2" t="str">
        <f>IFERROR(__xludf.DUMMYFUNCTION("""COMPUTED_VALUE"""),"000308")</f>
        <v>000308</v>
      </c>
      <c r="J35" s="2" t="str">
        <f>IFERROR(__xludf.DUMMYFUNCTION("""COMPUTED_VALUE"""),"23-24")</f>
        <v>23-24</v>
      </c>
    </row>
    <row r="36">
      <c r="A36" s="2" t="str">
        <f>IFERROR(__xludf.DUMMYFUNCTION("""COMPUTED_VALUE"""),"2007195491")</f>
        <v>2007195491</v>
      </c>
      <c r="B36" s="2" t="str">
        <f>IFERROR(__xludf.DUMMYFUNCTION("""COMPUTED_VALUE"""),"Marsh")</f>
        <v>Marsh</v>
      </c>
      <c r="C36" s="2" t="str">
        <f>IFERROR(__xludf.DUMMYFUNCTION("""COMPUTED_VALUE"""),"Maddox")</f>
        <v>Maddox</v>
      </c>
      <c r="D36" s="4">
        <f>IFERROR(__xludf.DUMMYFUNCTION("""COMPUTED_VALUE"""),8.0)</f>
        <v>8</v>
      </c>
      <c r="E36" s="2" t="str">
        <f>IFERROR(__xludf.DUMMYFUNCTION("""COMPUTED_VALUE"""),"M")</f>
        <v>M</v>
      </c>
      <c r="F36" s="2" t="str">
        <f>IFERROR(__xludf.DUMMYFUNCTION("""COMPUTED_VALUE"""),"No, not Hispanic or Latino")</f>
        <v>No, not Hispanic or Latino</v>
      </c>
      <c r="G36" s="2" t="str">
        <f>IFERROR(__xludf.DUMMYFUNCTION("""COMPUTED_VALUE"""),"White")</f>
        <v>White</v>
      </c>
      <c r="H36" s="4">
        <f>IFERROR(__xludf.DUMMYFUNCTION("""COMPUTED_VALUE"""),1031.0)</f>
        <v>1031</v>
      </c>
      <c r="I36" s="2" t="str">
        <f>IFERROR(__xludf.DUMMYFUNCTION("""COMPUTED_VALUE"""),"000308")</f>
        <v>000308</v>
      </c>
      <c r="J36" s="2" t="str">
        <f>IFERROR(__xludf.DUMMYFUNCTION("""COMPUTED_VALUE"""),"23-24")</f>
        <v>23-24</v>
      </c>
    </row>
    <row r="37">
      <c r="A37" s="2" t="str">
        <f>IFERROR(__xludf.DUMMYFUNCTION("""COMPUTED_VALUE"""),"7068776286")</f>
        <v>7068776286</v>
      </c>
      <c r="B37" s="2" t="str">
        <f>IFERROR(__xludf.DUMMYFUNCTION("""COMPUTED_VALUE"""),"Matthies")</f>
        <v>Matthies</v>
      </c>
      <c r="C37" s="2" t="str">
        <f>IFERROR(__xludf.DUMMYFUNCTION("""COMPUTED_VALUE"""),"Lilian")</f>
        <v>Lilian</v>
      </c>
      <c r="D37" s="4">
        <f>IFERROR(__xludf.DUMMYFUNCTION("""COMPUTED_VALUE"""),8.0)</f>
        <v>8</v>
      </c>
      <c r="E37" s="2" t="str">
        <f>IFERROR(__xludf.DUMMYFUNCTION("""COMPUTED_VALUE"""),"F")</f>
        <v>F</v>
      </c>
      <c r="F37" s="2" t="str">
        <f>IFERROR(__xludf.DUMMYFUNCTION("""COMPUTED_VALUE"""),"No, not Hispanic or Latino")</f>
        <v>No, not Hispanic or Latino</v>
      </c>
      <c r="G37" s="2" t="str">
        <f>IFERROR(__xludf.DUMMYFUNCTION("""COMPUTED_VALUE"""),"White")</f>
        <v>White</v>
      </c>
      <c r="H37" s="4">
        <f>IFERROR(__xludf.DUMMYFUNCTION("""COMPUTED_VALUE"""),1030.0)</f>
        <v>1030</v>
      </c>
      <c r="I37" s="2" t="str">
        <f>IFERROR(__xludf.DUMMYFUNCTION("""COMPUTED_VALUE"""),"000308")</f>
        <v>000308</v>
      </c>
      <c r="J37" s="2" t="str">
        <f>IFERROR(__xludf.DUMMYFUNCTION("""COMPUTED_VALUE"""),"23-24")</f>
        <v>23-24</v>
      </c>
    </row>
    <row r="38">
      <c r="A38" s="2" t="str">
        <f>IFERROR(__xludf.DUMMYFUNCTION("""COMPUTED_VALUE"""),"4779788275")</f>
        <v>4779788275</v>
      </c>
      <c r="B38" s="2" t="str">
        <f>IFERROR(__xludf.DUMMYFUNCTION("""COMPUTED_VALUE"""),"Meneau")</f>
        <v>Meneau</v>
      </c>
      <c r="C38" s="2" t="str">
        <f>IFERROR(__xludf.DUMMYFUNCTION("""COMPUTED_VALUE"""),"Charles")</f>
        <v>Charles</v>
      </c>
      <c r="D38" s="4">
        <f>IFERROR(__xludf.DUMMYFUNCTION("""COMPUTED_VALUE"""),8.0)</f>
        <v>8</v>
      </c>
      <c r="E38" s="2" t="str">
        <f>IFERROR(__xludf.DUMMYFUNCTION("""COMPUTED_VALUE"""),"M")</f>
        <v>M</v>
      </c>
      <c r="F38" s="2" t="str">
        <f>IFERROR(__xludf.DUMMYFUNCTION("""COMPUTED_VALUE"""),"No, not Hispanic or Latino")</f>
        <v>No, not Hispanic or Latino</v>
      </c>
      <c r="G38" s="2" t="str">
        <f>IFERROR(__xludf.DUMMYFUNCTION("""COMPUTED_VALUE"""),"White")</f>
        <v>White</v>
      </c>
      <c r="H38" s="4">
        <f>IFERROR(__xludf.DUMMYFUNCTION("""COMPUTED_VALUE"""),1030.0)</f>
        <v>1030</v>
      </c>
      <c r="I38" s="2" t="str">
        <f>IFERROR(__xludf.DUMMYFUNCTION("""COMPUTED_VALUE"""),"000308")</f>
        <v>000308</v>
      </c>
      <c r="J38" s="2" t="str">
        <f>IFERROR(__xludf.DUMMYFUNCTION("""COMPUTED_VALUE"""),"23-24")</f>
        <v>23-24</v>
      </c>
    </row>
    <row r="39">
      <c r="A39" s="2" t="str">
        <f>IFERROR(__xludf.DUMMYFUNCTION("""COMPUTED_VALUE"""),"5146216229")</f>
        <v>5146216229</v>
      </c>
      <c r="B39" s="2" t="str">
        <f>IFERROR(__xludf.DUMMYFUNCTION("""COMPUTED_VALUE"""),"Minnich")</f>
        <v>Minnich</v>
      </c>
      <c r="C39" s="2" t="str">
        <f>IFERROR(__xludf.DUMMYFUNCTION("""COMPUTED_VALUE"""),"Ethan")</f>
        <v>Ethan</v>
      </c>
      <c r="D39" s="4">
        <f>IFERROR(__xludf.DUMMYFUNCTION("""COMPUTED_VALUE"""),8.0)</f>
        <v>8</v>
      </c>
      <c r="E39" s="2" t="str">
        <f>IFERROR(__xludf.DUMMYFUNCTION("""COMPUTED_VALUE"""),"M")</f>
        <v>M</v>
      </c>
      <c r="F39" s="2" t="str">
        <f>IFERROR(__xludf.DUMMYFUNCTION("""COMPUTED_VALUE"""),"No, not Hispanic or Latino")</f>
        <v>No, not Hispanic or Latino</v>
      </c>
      <c r="G39" s="2" t="str">
        <f>IFERROR(__xludf.DUMMYFUNCTION("""COMPUTED_VALUE"""),"White")</f>
        <v>White</v>
      </c>
      <c r="H39" s="4">
        <f>IFERROR(__xludf.DUMMYFUNCTION("""COMPUTED_VALUE"""),1031.0)</f>
        <v>1031</v>
      </c>
      <c r="I39" s="2" t="str">
        <f>IFERROR(__xludf.DUMMYFUNCTION("""COMPUTED_VALUE"""),"000308")</f>
        <v>000308</v>
      </c>
      <c r="J39" s="2" t="str">
        <f>IFERROR(__xludf.DUMMYFUNCTION("""COMPUTED_VALUE"""),"23-24")</f>
        <v>23-24</v>
      </c>
    </row>
    <row r="40">
      <c r="A40" s="2" t="str">
        <f>IFERROR(__xludf.DUMMYFUNCTION("""COMPUTED_VALUE"""),"2956524748")</f>
        <v>2956524748</v>
      </c>
      <c r="B40" s="2" t="str">
        <f>IFERROR(__xludf.DUMMYFUNCTION("""COMPUTED_VALUE"""),"Molloy")</f>
        <v>Molloy</v>
      </c>
      <c r="C40" s="2" t="str">
        <f>IFERROR(__xludf.DUMMYFUNCTION("""COMPUTED_VALUE"""),"Daniel")</f>
        <v>Daniel</v>
      </c>
      <c r="D40" s="4">
        <f>IFERROR(__xludf.DUMMYFUNCTION("""COMPUTED_VALUE"""),8.0)</f>
        <v>8</v>
      </c>
      <c r="E40" s="2" t="str">
        <f>IFERROR(__xludf.DUMMYFUNCTION("""COMPUTED_VALUE"""),"M")</f>
        <v>M</v>
      </c>
      <c r="F40" s="2" t="str">
        <f>IFERROR(__xludf.DUMMYFUNCTION("""COMPUTED_VALUE"""),"No, not Hispanic or Latino")</f>
        <v>No, not Hispanic or Latino</v>
      </c>
      <c r="G40" s="2" t="str">
        <f>IFERROR(__xludf.DUMMYFUNCTION("""COMPUTED_VALUE"""),"Samoan")</f>
        <v>Samoan</v>
      </c>
      <c r="H40" s="4">
        <f>IFERROR(__xludf.DUMMYFUNCTION("""COMPUTED_VALUE"""),1030.0)</f>
        <v>1030</v>
      </c>
      <c r="I40" s="2" t="str">
        <f>IFERROR(__xludf.DUMMYFUNCTION("""COMPUTED_VALUE"""),"000308")</f>
        <v>000308</v>
      </c>
      <c r="J40" s="2" t="str">
        <f>IFERROR(__xludf.DUMMYFUNCTION("""COMPUTED_VALUE"""),"23-24")</f>
        <v>23-24</v>
      </c>
    </row>
    <row r="41">
      <c r="A41" s="2" t="str">
        <f>IFERROR(__xludf.DUMMYFUNCTION("""COMPUTED_VALUE"""),"5180354324")</f>
        <v>5180354324</v>
      </c>
      <c r="B41" s="2" t="str">
        <f>IFERROR(__xludf.DUMMYFUNCTION("""COMPUTED_VALUE"""),"Moshashaee")</f>
        <v>Moshashaee</v>
      </c>
      <c r="C41" s="2" t="str">
        <f>IFERROR(__xludf.DUMMYFUNCTION("""COMPUTED_VALUE"""),"Deanna")</f>
        <v>Deanna</v>
      </c>
      <c r="D41" s="4">
        <f>IFERROR(__xludf.DUMMYFUNCTION("""COMPUTED_VALUE"""),8.0)</f>
        <v>8</v>
      </c>
      <c r="E41" s="2" t="str">
        <f>IFERROR(__xludf.DUMMYFUNCTION("""COMPUTED_VALUE"""),"F")</f>
        <v>F</v>
      </c>
      <c r="F41" s="2" t="str">
        <f>IFERROR(__xludf.DUMMYFUNCTION("""COMPUTED_VALUE"""),"No, not Hispanic or Latino")</f>
        <v>No, not Hispanic or Latino</v>
      </c>
      <c r="G41" s="2" t="str">
        <f>IFERROR(__xludf.DUMMYFUNCTION("""COMPUTED_VALUE"""),"White")</f>
        <v>White</v>
      </c>
      <c r="H41" s="4">
        <f>IFERROR(__xludf.DUMMYFUNCTION("""COMPUTED_VALUE"""),1031.0)</f>
        <v>1031</v>
      </c>
      <c r="I41" s="2" t="str">
        <f>IFERROR(__xludf.DUMMYFUNCTION("""COMPUTED_VALUE"""),"000308")</f>
        <v>000308</v>
      </c>
      <c r="J41" s="2" t="str">
        <f>IFERROR(__xludf.DUMMYFUNCTION("""COMPUTED_VALUE"""),"23-24")</f>
        <v>23-24</v>
      </c>
    </row>
    <row r="42">
      <c r="A42" s="2" t="str">
        <f>IFERROR(__xludf.DUMMYFUNCTION("""COMPUTED_VALUE"""),"3580952174")</f>
        <v>3580952174</v>
      </c>
      <c r="B42" s="2" t="str">
        <f>IFERROR(__xludf.DUMMYFUNCTION("""COMPUTED_VALUE"""),"Namburu")</f>
        <v>Namburu</v>
      </c>
      <c r="C42" s="2" t="str">
        <f>IFERROR(__xludf.DUMMYFUNCTION("""COMPUTED_VALUE"""),"Sahiti")</f>
        <v>Sahiti</v>
      </c>
      <c r="D42" s="4">
        <f>IFERROR(__xludf.DUMMYFUNCTION("""COMPUTED_VALUE"""),8.0)</f>
        <v>8</v>
      </c>
      <c r="E42" s="2" t="str">
        <f>IFERROR(__xludf.DUMMYFUNCTION("""COMPUTED_VALUE"""),"F")</f>
        <v>F</v>
      </c>
      <c r="F42" s="2" t="str">
        <f>IFERROR(__xludf.DUMMYFUNCTION("""COMPUTED_VALUE"""),"No, not Hispanic or Latino")</f>
        <v>No, not Hispanic or Latino</v>
      </c>
      <c r="G42" s="2" t="str">
        <f>IFERROR(__xludf.DUMMYFUNCTION("""COMPUTED_VALUE"""),"Asian Indian")</f>
        <v>Asian Indian</v>
      </c>
      <c r="H42" s="4">
        <f>IFERROR(__xludf.DUMMYFUNCTION("""COMPUTED_VALUE"""),1031.0)</f>
        <v>1031</v>
      </c>
      <c r="I42" s="2" t="str">
        <f>IFERROR(__xludf.DUMMYFUNCTION("""COMPUTED_VALUE"""),"000308")</f>
        <v>000308</v>
      </c>
      <c r="J42" s="2" t="str">
        <f>IFERROR(__xludf.DUMMYFUNCTION("""COMPUTED_VALUE"""),"23-24")</f>
        <v>23-24</v>
      </c>
    </row>
    <row r="43">
      <c r="A43" s="2" t="str">
        <f>IFERROR(__xludf.DUMMYFUNCTION("""COMPUTED_VALUE"""),"7951262332")</f>
        <v>7951262332</v>
      </c>
      <c r="B43" s="2" t="str">
        <f>IFERROR(__xludf.DUMMYFUNCTION("""COMPUTED_VALUE"""),"Newhoff")</f>
        <v>Newhoff</v>
      </c>
      <c r="C43" s="2" t="str">
        <f>IFERROR(__xludf.DUMMYFUNCTION("""COMPUTED_VALUE"""),"Charlie")</f>
        <v>Charlie</v>
      </c>
      <c r="D43" s="4">
        <f>IFERROR(__xludf.DUMMYFUNCTION("""COMPUTED_VALUE"""),8.0)</f>
        <v>8</v>
      </c>
      <c r="E43" s="2" t="str">
        <f>IFERROR(__xludf.DUMMYFUNCTION("""COMPUTED_VALUE"""),"F")</f>
        <v>F</v>
      </c>
      <c r="F43" s="2" t="str">
        <f>IFERROR(__xludf.DUMMYFUNCTION("""COMPUTED_VALUE"""),"No, not Hispanic or Latino")</f>
        <v>No, not Hispanic or Latino</v>
      </c>
      <c r="G43" s="2" t="str">
        <f>IFERROR(__xludf.DUMMYFUNCTION("""COMPUTED_VALUE"""),"Black or African American")</f>
        <v>Black or African American</v>
      </c>
      <c r="H43" s="4">
        <f>IFERROR(__xludf.DUMMYFUNCTION("""COMPUTED_VALUE"""),1031.0)</f>
        <v>1031</v>
      </c>
      <c r="I43" s="2" t="str">
        <f>IFERROR(__xludf.DUMMYFUNCTION("""COMPUTED_VALUE"""),"000308")</f>
        <v>000308</v>
      </c>
      <c r="J43" s="2" t="str">
        <f>IFERROR(__xludf.DUMMYFUNCTION("""COMPUTED_VALUE"""),"23-24")</f>
        <v>23-24</v>
      </c>
    </row>
    <row r="44">
      <c r="A44" s="2" t="str">
        <f>IFERROR(__xludf.DUMMYFUNCTION("""COMPUTED_VALUE"""),"1691476558")</f>
        <v>1691476558</v>
      </c>
      <c r="B44" s="2" t="str">
        <f>IFERROR(__xludf.DUMMYFUNCTION("""COMPUTED_VALUE"""),"Nguyen")</f>
        <v>Nguyen</v>
      </c>
      <c r="C44" s="2" t="str">
        <f>IFERROR(__xludf.DUMMYFUNCTION("""COMPUTED_VALUE"""),"Camden")</f>
        <v>Camden</v>
      </c>
      <c r="D44" s="4">
        <f>IFERROR(__xludf.DUMMYFUNCTION("""COMPUTED_VALUE"""),8.0)</f>
        <v>8</v>
      </c>
      <c r="E44" s="2" t="str">
        <f>IFERROR(__xludf.DUMMYFUNCTION("""COMPUTED_VALUE"""),"M")</f>
        <v>M</v>
      </c>
      <c r="F44" s="2" t="str">
        <f>IFERROR(__xludf.DUMMYFUNCTION("""COMPUTED_VALUE"""),"No, not Hispanic or Latino")</f>
        <v>No, not Hispanic or Latino</v>
      </c>
      <c r="G44" s="2" t="str">
        <f>IFERROR(__xludf.DUMMYFUNCTION("""COMPUTED_VALUE"""),"White")</f>
        <v>White</v>
      </c>
      <c r="H44" s="4">
        <f>IFERROR(__xludf.DUMMYFUNCTION("""COMPUTED_VALUE"""),1031.0)</f>
        <v>1031</v>
      </c>
      <c r="I44" s="2" t="str">
        <f>IFERROR(__xludf.DUMMYFUNCTION("""COMPUTED_VALUE"""),"000308")</f>
        <v>000308</v>
      </c>
      <c r="J44" s="2" t="str">
        <f>IFERROR(__xludf.DUMMYFUNCTION("""COMPUTED_VALUE"""),"23-24")</f>
        <v>23-24</v>
      </c>
    </row>
    <row r="45">
      <c r="A45" s="2" t="str">
        <f>IFERROR(__xludf.DUMMYFUNCTION("""COMPUTED_VALUE"""),"7552727381")</f>
        <v>7552727381</v>
      </c>
      <c r="B45" s="2" t="str">
        <f>IFERROR(__xludf.DUMMYFUNCTION("""COMPUTED_VALUE"""),"Patel")</f>
        <v>Patel</v>
      </c>
      <c r="C45" s="2" t="str">
        <f>IFERROR(__xludf.DUMMYFUNCTION("""COMPUTED_VALUE"""),"Kaylin")</f>
        <v>Kaylin</v>
      </c>
      <c r="D45" s="4">
        <f>IFERROR(__xludf.DUMMYFUNCTION("""COMPUTED_VALUE"""),8.0)</f>
        <v>8</v>
      </c>
      <c r="E45" s="2" t="str">
        <f>IFERROR(__xludf.DUMMYFUNCTION("""COMPUTED_VALUE"""),"F")</f>
        <v>F</v>
      </c>
      <c r="F45" s="2" t="str">
        <f>IFERROR(__xludf.DUMMYFUNCTION("""COMPUTED_VALUE"""),"No, not Hispanic or Latino")</f>
        <v>No, not Hispanic or Latino</v>
      </c>
      <c r="G45" s="2" t="str">
        <f>IFERROR(__xludf.DUMMYFUNCTION("""COMPUTED_VALUE"""),"Asian Indian")</f>
        <v>Asian Indian</v>
      </c>
      <c r="H45" s="4">
        <f>IFERROR(__xludf.DUMMYFUNCTION("""COMPUTED_VALUE"""),1030.0)</f>
        <v>1030</v>
      </c>
      <c r="I45" s="2" t="str">
        <f>IFERROR(__xludf.DUMMYFUNCTION("""COMPUTED_VALUE"""),"000308")</f>
        <v>000308</v>
      </c>
      <c r="J45" s="2" t="str">
        <f>IFERROR(__xludf.DUMMYFUNCTION("""COMPUTED_VALUE"""),"23-24")</f>
        <v>23-24</v>
      </c>
    </row>
    <row r="46">
      <c r="A46" s="2" t="str">
        <f>IFERROR(__xludf.DUMMYFUNCTION("""COMPUTED_VALUE"""),"7019805161")</f>
        <v>7019805161</v>
      </c>
      <c r="B46" s="2" t="str">
        <f>IFERROR(__xludf.DUMMYFUNCTION("""COMPUTED_VALUE"""),"Perry")</f>
        <v>Perry</v>
      </c>
      <c r="C46" s="2" t="str">
        <f>IFERROR(__xludf.DUMMYFUNCTION("""COMPUTED_VALUE"""),"John-Paul")</f>
        <v>John-Paul</v>
      </c>
      <c r="D46" s="4">
        <f>IFERROR(__xludf.DUMMYFUNCTION("""COMPUTED_VALUE"""),8.0)</f>
        <v>8</v>
      </c>
      <c r="E46" s="2" t="str">
        <f>IFERROR(__xludf.DUMMYFUNCTION("""COMPUTED_VALUE"""),"M")</f>
        <v>M</v>
      </c>
      <c r="F46" s="2" t="str">
        <f>IFERROR(__xludf.DUMMYFUNCTION("""COMPUTED_VALUE"""),"No, not Hispanic or Latino")</f>
        <v>No, not Hispanic or Latino</v>
      </c>
      <c r="G46" s="2" t="str">
        <f>IFERROR(__xludf.DUMMYFUNCTION("""COMPUTED_VALUE"""),"White")</f>
        <v>White</v>
      </c>
      <c r="H46" s="4">
        <f>IFERROR(__xludf.DUMMYFUNCTION("""COMPUTED_VALUE"""),1031.0)</f>
        <v>1031</v>
      </c>
      <c r="I46" s="2" t="str">
        <f>IFERROR(__xludf.DUMMYFUNCTION("""COMPUTED_VALUE"""),"000308")</f>
        <v>000308</v>
      </c>
      <c r="J46" s="2" t="str">
        <f>IFERROR(__xludf.DUMMYFUNCTION("""COMPUTED_VALUE"""),"23-24")</f>
        <v>23-24</v>
      </c>
    </row>
    <row r="47">
      <c r="A47" s="2" t="str">
        <f>IFERROR(__xludf.DUMMYFUNCTION("""COMPUTED_VALUE"""),"4186165138")</f>
        <v>4186165138</v>
      </c>
      <c r="B47" s="2" t="str">
        <f>IFERROR(__xludf.DUMMYFUNCTION("""COMPUTED_VALUE"""),"Probst")</f>
        <v>Probst</v>
      </c>
      <c r="C47" s="2" t="str">
        <f>IFERROR(__xludf.DUMMYFUNCTION("""COMPUTED_VALUE"""),"Kai")</f>
        <v>Kai</v>
      </c>
      <c r="D47" s="4">
        <f>IFERROR(__xludf.DUMMYFUNCTION("""COMPUTED_VALUE"""),8.0)</f>
        <v>8</v>
      </c>
      <c r="E47" s="2" t="str">
        <f>IFERROR(__xludf.DUMMYFUNCTION("""COMPUTED_VALUE"""),"M")</f>
        <v>M</v>
      </c>
      <c r="F47" s="2" t="str">
        <f>IFERROR(__xludf.DUMMYFUNCTION("""COMPUTED_VALUE"""),"No, not Hispanic or Latino")</f>
        <v>No, not Hispanic or Latino</v>
      </c>
      <c r="G47" s="2" t="str">
        <f>IFERROR(__xludf.DUMMYFUNCTION("""COMPUTED_VALUE"""),"White")</f>
        <v>White</v>
      </c>
      <c r="H47" s="4">
        <f>IFERROR(__xludf.DUMMYFUNCTION("""COMPUTED_VALUE"""),1031.0)</f>
        <v>1031</v>
      </c>
      <c r="I47" s="2" t="str">
        <f>IFERROR(__xludf.DUMMYFUNCTION("""COMPUTED_VALUE"""),"000308")</f>
        <v>000308</v>
      </c>
      <c r="J47" s="2" t="str">
        <f>IFERROR(__xludf.DUMMYFUNCTION("""COMPUTED_VALUE"""),"23-24")</f>
        <v>23-24</v>
      </c>
    </row>
    <row r="48">
      <c r="A48" s="2" t="str">
        <f>IFERROR(__xludf.DUMMYFUNCTION("""COMPUTED_VALUE"""),"3395784690")</f>
        <v>3395784690</v>
      </c>
      <c r="B48" s="2" t="str">
        <f>IFERROR(__xludf.DUMMYFUNCTION("""COMPUTED_VALUE"""),"Rambo")</f>
        <v>Rambo</v>
      </c>
      <c r="C48" s="2" t="str">
        <f>IFERROR(__xludf.DUMMYFUNCTION("""COMPUTED_VALUE"""),"Forest")</f>
        <v>Forest</v>
      </c>
      <c r="D48" s="4">
        <f>IFERROR(__xludf.DUMMYFUNCTION("""COMPUTED_VALUE"""),8.0)</f>
        <v>8</v>
      </c>
      <c r="E48" s="2" t="str">
        <f>IFERROR(__xludf.DUMMYFUNCTION("""COMPUTED_VALUE"""),"M")</f>
        <v>M</v>
      </c>
      <c r="F48" s="2" t="str">
        <f>IFERROR(__xludf.DUMMYFUNCTION("""COMPUTED_VALUE"""),"No, not Hispanic or Latino")</f>
        <v>No, not Hispanic or Latino</v>
      </c>
      <c r="G48" s="2" t="str">
        <f>IFERROR(__xludf.DUMMYFUNCTION("""COMPUTED_VALUE"""),"White")</f>
        <v>White</v>
      </c>
      <c r="H48" s="4">
        <f>IFERROR(__xludf.DUMMYFUNCTION("""COMPUTED_VALUE"""),1030.0)</f>
        <v>1030</v>
      </c>
      <c r="I48" s="2" t="str">
        <f>IFERROR(__xludf.DUMMYFUNCTION("""COMPUTED_VALUE"""),"000308")</f>
        <v>000308</v>
      </c>
      <c r="J48" s="2" t="str">
        <f>IFERROR(__xludf.DUMMYFUNCTION("""COMPUTED_VALUE"""),"23-24")</f>
        <v>23-24</v>
      </c>
    </row>
    <row r="49">
      <c r="A49" s="2" t="str">
        <f>IFERROR(__xludf.DUMMYFUNCTION("""COMPUTED_VALUE"""),"8664907746")</f>
        <v>8664907746</v>
      </c>
      <c r="B49" s="2" t="str">
        <f>IFERROR(__xludf.DUMMYFUNCTION("""COMPUTED_VALUE"""),"Rice")</f>
        <v>Rice</v>
      </c>
      <c r="C49" s="2" t="str">
        <f>IFERROR(__xludf.DUMMYFUNCTION("""COMPUTED_VALUE"""),"Zachary")</f>
        <v>Zachary</v>
      </c>
      <c r="D49" s="4">
        <f>IFERROR(__xludf.DUMMYFUNCTION("""COMPUTED_VALUE"""),8.0)</f>
        <v>8</v>
      </c>
      <c r="E49" s="2" t="str">
        <f>IFERROR(__xludf.DUMMYFUNCTION("""COMPUTED_VALUE"""),"M")</f>
        <v>M</v>
      </c>
      <c r="F49" s="2" t="str">
        <f>IFERROR(__xludf.DUMMYFUNCTION("""COMPUTED_VALUE"""),"No, not Hispanic or Latino")</f>
        <v>No, not Hispanic or Latino</v>
      </c>
      <c r="G49" s="2" t="str">
        <f>IFERROR(__xludf.DUMMYFUNCTION("""COMPUTED_VALUE"""),"White")</f>
        <v>White</v>
      </c>
      <c r="H49" s="4">
        <f>IFERROR(__xludf.DUMMYFUNCTION("""COMPUTED_VALUE"""),1031.0)</f>
        <v>1031</v>
      </c>
      <c r="I49" s="2" t="str">
        <f>IFERROR(__xludf.DUMMYFUNCTION("""COMPUTED_VALUE"""),"000308")</f>
        <v>000308</v>
      </c>
      <c r="J49" s="2" t="str">
        <f>IFERROR(__xludf.DUMMYFUNCTION("""COMPUTED_VALUE"""),"23-24")</f>
        <v>23-24</v>
      </c>
    </row>
    <row r="50">
      <c r="A50" s="2" t="str">
        <f>IFERROR(__xludf.DUMMYFUNCTION("""COMPUTED_VALUE"""),"7138200690")</f>
        <v>7138200690</v>
      </c>
      <c r="B50" s="2" t="str">
        <f>IFERROR(__xludf.DUMMYFUNCTION("""COMPUTED_VALUE"""),"Roder")</f>
        <v>Roder</v>
      </c>
      <c r="C50" s="2" t="str">
        <f>IFERROR(__xludf.DUMMYFUNCTION("""COMPUTED_VALUE"""),"Kieran")</f>
        <v>Kieran</v>
      </c>
      <c r="D50" s="4">
        <f>IFERROR(__xludf.DUMMYFUNCTION("""COMPUTED_VALUE"""),8.0)</f>
        <v>8</v>
      </c>
      <c r="E50" s="2" t="str">
        <f>IFERROR(__xludf.DUMMYFUNCTION("""COMPUTED_VALUE"""),"M")</f>
        <v>M</v>
      </c>
      <c r="F50" s="2" t="str">
        <f>IFERROR(__xludf.DUMMYFUNCTION("""COMPUTED_VALUE"""),"No, not Hispanic or Latino")</f>
        <v>No, not Hispanic or Latino</v>
      </c>
      <c r="G50" s="2" t="str">
        <f>IFERROR(__xludf.DUMMYFUNCTION("""COMPUTED_VALUE"""),"White")</f>
        <v>White</v>
      </c>
      <c r="H50" s="4">
        <f>IFERROR(__xludf.DUMMYFUNCTION("""COMPUTED_VALUE"""),1030.0)</f>
        <v>1030</v>
      </c>
      <c r="I50" s="2" t="str">
        <f>IFERROR(__xludf.DUMMYFUNCTION("""COMPUTED_VALUE"""),"000308")</f>
        <v>000308</v>
      </c>
      <c r="J50" s="2" t="str">
        <f>IFERROR(__xludf.DUMMYFUNCTION("""COMPUTED_VALUE"""),"23-24")</f>
        <v>23-24</v>
      </c>
    </row>
    <row r="51">
      <c r="A51" s="2" t="str">
        <f>IFERROR(__xludf.DUMMYFUNCTION("""COMPUTED_VALUE"""),"4623564284")</f>
        <v>4623564284</v>
      </c>
      <c r="B51" s="2" t="str">
        <f>IFERROR(__xludf.DUMMYFUNCTION("""COMPUTED_VALUE"""),"Russell")</f>
        <v>Russell</v>
      </c>
      <c r="C51" s="2" t="str">
        <f>IFERROR(__xludf.DUMMYFUNCTION("""COMPUTED_VALUE"""),"Logan")</f>
        <v>Logan</v>
      </c>
      <c r="D51" s="4">
        <f>IFERROR(__xludf.DUMMYFUNCTION("""COMPUTED_VALUE"""),8.0)</f>
        <v>8</v>
      </c>
      <c r="E51" s="2" t="str">
        <f>IFERROR(__xludf.DUMMYFUNCTION("""COMPUTED_VALUE"""),"M")</f>
        <v>M</v>
      </c>
      <c r="F51" s="2" t="str">
        <f>IFERROR(__xludf.DUMMYFUNCTION("""COMPUTED_VALUE"""),"No, not Hispanic or Latino")</f>
        <v>No, not Hispanic or Latino</v>
      </c>
      <c r="G51" s="2" t="str">
        <f>IFERROR(__xludf.DUMMYFUNCTION("""COMPUTED_VALUE"""),"White")</f>
        <v>White</v>
      </c>
      <c r="H51" s="4">
        <f>IFERROR(__xludf.DUMMYFUNCTION("""COMPUTED_VALUE"""),1030.0)</f>
        <v>1030</v>
      </c>
      <c r="I51" s="2" t="str">
        <f>IFERROR(__xludf.DUMMYFUNCTION("""COMPUTED_VALUE"""),"000308")</f>
        <v>000308</v>
      </c>
      <c r="J51" s="2" t="str">
        <f>IFERROR(__xludf.DUMMYFUNCTION("""COMPUTED_VALUE"""),"23-24")</f>
        <v>23-24</v>
      </c>
    </row>
    <row r="52">
      <c r="A52" s="2" t="str">
        <f>IFERROR(__xludf.DUMMYFUNCTION("""COMPUTED_VALUE"""),"2130919661")</f>
        <v>2130919661</v>
      </c>
      <c r="B52" s="2" t="str">
        <f>IFERROR(__xludf.DUMMYFUNCTION("""COMPUTED_VALUE"""),"Sabino Arana")</f>
        <v>Sabino Arana</v>
      </c>
      <c r="C52" s="2" t="str">
        <f>IFERROR(__xludf.DUMMYFUNCTION("""COMPUTED_VALUE"""),"Alexander")</f>
        <v>Alexander</v>
      </c>
      <c r="D52" s="4">
        <f>IFERROR(__xludf.DUMMYFUNCTION("""COMPUTED_VALUE"""),8.0)</f>
        <v>8</v>
      </c>
      <c r="E52" s="2" t="str">
        <f>IFERROR(__xludf.DUMMYFUNCTION("""COMPUTED_VALUE"""),"M")</f>
        <v>M</v>
      </c>
      <c r="F52" s="2" t="str">
        <f>IFERROR(__xludf.DUMMYFUNCTION("""COMPUTED_VALUE"""),"Yes, Hispanic or Latino")</f>
        <v>Yes, Hispanic or Latino</v>
      </c>
      <c r="G52" s="2" t="str">
        <f>IFERROR(__xludf.DUMMYFUNCTION("""COMPUTED_VALUE"""),"Laotian")</f>
        <v>Laotian</v>
      </c>
      <c r="H52" s="4">
        <f>IFERROR(__xludf.DUMMYFUNCTION("""COMPUTED_VALUE"""),1030.0)</f>
        <v>1030</v>
      </c>
      <c r="I52" s="2" t="str">
        <f>IFERROR(__xludf.DUMMYFUNCTION("""COMPUTED_VALUE"""),"000308")</f>
        <v>000308</v>
      </c>
      <c r="J52" s="2" t="str">
        <f>IFERROR(__xludf.DUMMYFUNCTION("""COMPUTED_VALUE"""),"23-24")</f>
        <v>23-24</v>
      </c>
    </row>
    <row r="53">
      <c r="A53" s="2" t="str">
        <f>IFERROR(__xludf.DUMMYFUNCTION("""COMPUTED_VALUE"""),"1481757658")</f>
        <v>1481757658</v>
      </c>
      <c r="B53" s="2" t="str">
        <f>IFERROR(__xludf.DUMMYFUNCTION("""COMPUTED_VALUE"""),"Salvado")</f>
        <v>Salvado</v>
      </c>
      <c r="C53" s="2" t="str">
        <f>IFERROR(__xludf.DUMMYFUNCTION("""COMPUTED_VALUE"""),"Miro")</f>
        <v>Miro</v>
      </c>
      <c r="D53" s="4">
        <f>IFERROR(__xludf.DUMMYFUNCTION("""COMPUTED_VALUE"""),8.0)</f>
        <v>8</v>
      </c>
      <c r="E53" s="2" t="str">
        <f>IFERROR(__xludf.DUMMYFUNCTION("""COMPUTED_VALUE"""),"M")</f>
        <v>M</v>
      </c>
      <c r="F53" s="2" t="str">
        <f>IFERROR(__xludf.DUMMYFUNCTION("""COMPUTED_VALUE"""),"No, not Hispanic or Latino")</f>
        <v>No, not Hispanic or Latino</v>
      </c>
      <c r="G53" s="2" t="str">
        <f>IFERROR(__xludf.DUMMYFUNCTION("""COMPUTED_VALUE"""),"White")</f>
        <v>White</v>
      </c>
      <c r="H53" s="4">
        <f>IFERROR(__xludf.DUMMYFUNCTION("""COMPUTED_VALUE"""),1031.0)</f>
        <v>1031</v>
      </c>
      <c r="I53" s="2" t="str">
        <f>IFERROR(__xludf.DUMMYFUNCTION("""COMPUTED_VALUE"""),"000308")</f>
        <v>000308</v>
      </c>
      <c r="J53" s="2" t="str">
        <f>IFERROR(__xludf.DUMMYFUNCTION("""COMPUTED_VALUE"""),"23-24")</f>
        <v>23-24</v>
      </c>
    </row>
    <row r="54">
      <c r="A54" s="2" t="str">
        <f>IFERROR(__xludf.DUMMYFUNCTION("""COMPUTED_VALUE"""),"7377862803")</f>
        <v>7377862803</v>
      </c>
      <c r="B54" s="2" t="str">
        <f>IFERROR(__xludf.DUMMYFUNCTION("""COMPUTED_VALUE"""),"Singh")</f>
        <v>Singh</v>
      </c>
      <c r="C54" s="2" t="str">
        <f>IFERROR(__xludf.DUMMYFUNCTION("""COMPUTED_VALUE"""),"Aryaveer")</f>
        <v>Aryaveer</v>
      </c>
      <c r="D54" s="4">
        <f>IFERROR(__xludf.DUMMYFUNCTION("""COMPUTED_VALUE"""),8.0)</f>
        <v>8</v>
      </c>
      <c r="E54" s="2" t="str">
        <f>IFERROR(__xludf.DUMMYFUNCTION("""COMPUTED_VALUE"""),"M")</f>
        <v>M</v>
      </c>
      <c r="F54" s="2" t="str">
        <f>IFERROR(__xludf.DUMMYFUNCTION("""COMPUTED_VALUE"""),"No, not Hispanic or Latino")</f>
        <v>No, not Hispanic or Latino</v>
      </c>
      <c r="G54" s="2" t="str">
        <f>IFERROR(__xludf.DUMMYFUNCTION("""COMPUTED_VALUE"""),"Asian Indian")</f>
        <v>Asian Indian</v>
      </c>
      <c r="H54" s="4">
        <f>IFERROR(__xludf.DUMMYFUNCTION("""COMPUTED_VALUE"""),1030.0)</f>
        <v>1030</v>
      </c>
      <c r="I54" s="2" t="str">
        <f>IFERROR(__xludf.DUMMYFUNCTION("""COMPUTED_VALUE"""),"000308")</f>
        <v>000308</v>
      </c>
      <c r="J54" s="2" t="str">
        <f>IFERROR(__xludf.DUMMYFUNCTION("""COMPUTED_VALUE"""),"23-24")</f>
        <v>23-24</v>
      </c>
    </row>
    <row r="55">
      <c r="A55" s="2" t="str">
        <f>IFERROR(__xludf.DUMMYFUNCTION("""COMPUTED_VALUE"""),"5685086327")</f>
        <v>5685086327</v>
      </c>
      <c r="B55" s="2" t="str">
        <f>IFERROR(__xludf.DUMMYFUNCTION("""COMPUTED_VALUE"""),"Stein")</f>
        <v>Stein</v>
      </c>
      <c r="C55" s="2" t="str">
        <f>IFERROR(__xludf.DUMMYFUNCTION("""COMPUTED_VALUE"""),"Ari")</f>
        <v>Ari</v>
      </c>
      <c r="D55" s="4">
        <f>IFERROR(__xludf.DUMMYFUNCTION("""COMPUTED_VALUE"""),8.0)</f>
        <v>8</v>
      </c>
      <c r="E55" s="2" t="str">
        <f>IFERROR(__xludf.DUMMYFUNCTION("""COMPUTED_VALUE"""),"M")</f>
        <v>M</v>
      </c>
      <c r="F55" s="2" t="str">
        <f>IFERROR(__xludf.DUMMYFUNCTION("""COMPUTED_VALUE"""),"No, not Hispanic or Latino")</f>
        <v>No, not Hispanic or Latino</v>
      </c>
      <c r="G55" s="2" t="str">
        <f>IFERROR(__xludf.DUMMYFUNCTION("""COMPUTED_VALUE"""),"White")</f>
        <v>White</v>
      </c>
      <c r="H55" s="4">
        <f>IFERROR(__xludf.DUMMYFUNCTION("""COMPUTED_VALUE"""),1031.0)</f>
        <v>1031</v>
      </c>
      <c r="I55" s="2" t="str">
        <f>IFERROR(__xludf.DUMMYFUNCTION("""COMPUTED_VALUE"""),"000308")</f>
        <v>000308</v>
      </c>
      <c r="J55" s="2" t="str">
        <f>IFERROR(__xludf.DUMMYFUNCTION("""COMPUTED_VALUE"""),"23-24")</f>
        <v>23-24</v>
      </c>
    </row>
    <row r="56">
      <c r="A56" s="2" t="str">
        <f>IFERROR(__xludf.DUMMYFUNCTION("""COMPUTED_VALUE"""),"4347161403")</f>
        <v>4347161403</v>
      </c>
      <c r="B56" s="2" t="str">
        <f>IFERROR(__xludf.DUMMYFUNCTION("""COMPUTED_VALUE"""),"Stern")</f>
        <v>Stern</v>
      </c>
      <c r="C56" s="2" t="str">
        <f>IFERROR(__xludf.DUMMYFUNCTION("""COMPUTED_VALUE"""),"Nathan")</f>
        <v>Nathan</v>
      </c>
      <c r="D56" s="4">
        <f>IFERROR(__xludf.DUMMYFUNCTION("""COMPUTED_VALUE"""),8.0)</f>
        <v>8</v>
      </c>
      <c r="E56" s="2" t="str">
        <f>IFERROR(__xludf.DUMMYFUNCTION("""COMPUTED_VALUE"""),"M")</f>
        <v>M</v>
      </c>
      <c r="F56" s="2" t="str">
        <f>IFERROR(__xludf.DUMMYFUNCTION("""COMPUTED_VALUE"""),"No, not Hispanic or Latino")</f>
        <v>No, not Hispanic or Latino</v>
      </c>
      <c r="G56" s="2" t="str">
        <f>IFERROR(__xludf.DUMMYFUNCTION("""COMPUTED_VALUE"""),"White")</f>
        <v>White</v>
      </c>
      <c r="H56" s="4">
        <f>IFERROR(__xludf.DUMMYFUNCTION("""COMPUTED_VALUE"""),1031.0)</f>
        <v>1031</v>
      </c>
      <c r="I56" s="2" t="str">
        <f>IFERROR(__xludf.DUMMYFUNCTION("""COMPUTED_VALUE"""),"000308")</f>
        <v>000308</v>
      </c>
      <c r="J56" s="2" t="str">
        <f>IFERROR(__xludf.DUMMYFUNCTION("""COMPUTED_VALUE"""),"23-24")</f>
        <v>23-24</v>
      </c>
    </row>
    <row r="57">
      <c r="A57" s="2" t="str">
        <f>IFERROR(__xludf.DUMMYFUNCTION("""COMPUTED_VALUE"""),"9273577083")</f>
        <v>9273577083</v>
      </c>
      <c r="B57" s="2" t="str">
        <f>IFERROR(__xludf.DUMMYFUNCTION("""COMPUTED_VALUE"""),"Voloshin")</f>
        <v>Voloshin</v>
      </c>
      <c r="C57" s="2" t="str">
        <f>IFERROR(__xludf.DUMMYFUNCTION("""COMPUTED_VALUE"""),"Aaron")</f>
        <v>Aaron</v>
      </c>
      <c r="D57" s="4">
        <f>IFERROR(__xludf.DUMMYFUNCTION("""COMPUTED_VALUE"""),8.0)</f>
        <v>8</v>
      </c>
      <c r="E57" s="2" t="str">
        <f>IFERROR(__xludf.DUMMYFUNCTION("""COMPUTED_VALUE"""),"M")</f>
        <v>M</v>
      </c>
      <c r="F57" s="2" t="str">
        <f>IFERROR(__xludf.DUMMYFUNCTION("""COMPUTED_VALUE"""),"No, not Hispanic or Latino")</f>
        <v>No, not Hispanic or Latino</v>
      </c>
      <c r="G57" s="2" t="str">
        <f>IFERROR(__xludf.DUMMYFUNCTION("""COMPUTED_VALUE"""),"White")</f>
        <v>White</v>
      </c>
      <c r="H57" s="4">
        <f>IFERROR(__xludf.DUMMYFUNCTION("""COMPUTED_VALUE"""),1030.0)</f>
        <v>1030</v>
      </c>
      <c r="I57" s="2" t="str">
        <f>IFERROR(__xludf.DUMMYFUNCTION("""COMPUTED_VALUE"""),"000308")</f>
        <v>000308</v>
      </c>
      <c r="J57" s="2" t="str">
        <f>IFERROR(__xludf.DUMMYFUNCTION("""COMPUTED_VALUE"""),"23-24")</f>
        <v>23-24</v>
      </c>
    </row>
    <row r="58">
      <c r="A58" s="2" t="str">
        <f>IFERROR(__xludf.DUMMYFUNCTION("""COMPUTED_VALUE"""),"8995124237")</f>
        <v>8995124237</v>
      </c>
      <c r="B58" s="2" t="str">
        <f>IFERROR(__xludf.DUMMYFUNCTION("""COMPUTED_VALUE"""),"Vree")</f>
        <v>Vree</v>
      </c>
      <c r="C58" s="2" t="str">
        <f>IFERROR(__xludf.DUMMYFUNCTION("""COMPUTED_VALUE"""),"William")</f>
        <v>William</v>
      </c>
      <c r="D58" s="4">
        <f>IFERROR(__xludf.DUMMYFUNCTION("""COMPUTED_VALUE"""),8.0)</f>
        <v>8</v>
      </c>
      <c r="E58" s="2" t="str">
        <f>IFERROR(__xludf.DUMMYFUNCTION("""COMPUTED_VALUE"""),"M")</f>
        <v>M</v>
      </c>
      <c r="F58" s="2" t="str">
        <f>IFERROR(__xludf.DUMMYFUNCTION("""COMPUTED_VALUE"""),"No, not Hispanic or Latino")</f>
        <v>No, not Hispanic or Latino</v>
      </c>
      <c r="G58" s="2" t="str">
        <f>IFERROR(__xludf.DUMMYFUNCTION("""COMPUTED_VALUE"""),"White")</f>
        <v>White</v>
      </c>
      <c r="H58" s="4">
        <f>IFERROR(__xludf.DUMMYFUNCTION("""COMPUTED_VALUE"""),1030.0)</f>
        <v>1030</v>
      </c>
      <c r="I58" s="2" t="str">
        <f>IFERROR(__xludf.DUMMYFUNCTION("""COMPUTED_VALUE"""),"000308")</f>
        <v>000308</v>
      </c>
      <c r="J58" s="2" t="str">
        <f>IFERROR(__xludf.DUMMYFUNCTION("""COMPUTED_VALUE"""),"23-24")</f>
        <v>23-24</v>
      </c>
    </row>
    <row r="59">
      <c r="A59" s="2" t="str">
        <f>IFERROR(__xludf.DUMMYFUNCTION("""COMPUTED_VALUE"""),"5752464502")</f>
        <v>5752464502</v>
      </c>
      <c r="B59" s="2" t="str">
        <f>IFERROR(__xludf.DUMMYFUNCTION("""COMPUTED_VALUE"""),"Weidner")</f>
        <v>Weidner</v>
      </c>
      <c r="C59" s="2" t="str">
        <f>IFERROR(__xludf.DUMMYFUNCTION("""COMPUTED_VALUE"""),"James")</f>
        <v>James</v>
      </c>
      <c r="D59" s="4">
        <f>IFERROR(__xludf.DUMMYFUNCTION("""COMPUTED_VALUE"""),8.0)</f>
        <v>8</v>
      </c>
      <c r="E59" s="2" t="str">
        <f>IFERROR(__xludf.DUMMYFUNCTION("""COMPUTED_VALUE"""),"M")</f>
        <v>M</v>
      </c>
      <c r="F59" s="2" t="str">
        <f>IFERROR(__xludf.DUMMYFUNCTION("""COMPUTED_VALUE"""),"No, not Hispanic or Latino")</f>
        <v>No, not Hispanic or Latino</v>
      </c>
      <c r="G59" s="2" t="str">
        <f>IFERROR(__xludf.DUMMYFUNCTION("""COMPUTED_VALUE"""),"White")</f>
        <v>White</v>
      </c>
      <c r="H59" s="4">
        <f>IFERROR(__xludf.DUMMYFUNCTION("""COMPUTED_VALUE"""),1030.0)</f>
        <v>1030</v>
      </c>
      <c r="I59" s="2" t="str">
        <f>IFERROR(__xludf.DUMMYFUNCTION("""COMPUTED_VALUE"""),"000308")</f>
        <v>000308</v>
      </c>
      <c r="J59" s="2" t="str">
        <f>IFERROR(__xludf.DUMMYFUNCTION("""COMPUTED_VALUE"""),"23-24")</f>
        <v>23-24</v>
      </c>
    </row>
    <row r="60">
      <c r="A60" s="2" t="str">
        <f>IFERROR(__xludf.DUMMYFUNCTION("""COMPUTED_VALUE"""),"3300473531")</f>
        <v>3300473531</v>
      </c>
      <c r="B60" s="2" t="str">
        <f>IFERROR(__xludf.DUMMYFUNCTION("""COMPUTED_VALUE"""),"Winter")</f>
        <v>Winter</v>
      </c>
      <c r="C60" s="2" t="str">
        <f>IFERROR(__xludf.DUMMYFUNCTION("""COMPUTED_VALUE"""),"Ethan")</f>
        <v>Ethan</v>
      </c>
      <c r="D60" s="4">
        <f>IFERROR(__xludf.DUMMYFUNCTION("""COMPUTED_VALUE"""),8.0)</f>
        <v>8</v>
      </c>
      <c r="E60" s="2" t="str">
        <f>IFERROR(__xludf.DUMMYFUNCTION("""COMPUTED_VALUE"""),"M")</f>
        <v>M</v>
      </c>
      <c r="F60" s="2" t="str">
        <f>IFERROR(__xludf.DUMMYFUNCTION("""COMPUTED_VALUE"""),"No, not Hispanic or Latino")</f>
        <v>No, not Hispanic or Latino</v>
      </c>
      <c r="G60" s="2" t="str">
        <f>IFERROR(__xludf.DUMMYFUNCTION("""COMPUTED_VALUE"""),"White")</f>
        <v>White</v>
      </c>
      <c r="H60" s="4">
        <f>IFERROR(__xludf.DUMMYFUNCTION("""COMPUTED_VALUE"""),1031.0)</f>
        <v>1031</v>
      </c>
      <c r="I60" s="2" t="str">
        <f>IFERROR(__xludf.DUMMYFUNCTION("""COMPUTED_VALUE"""),"000308")</f>
        <v>000308</v>
      </c>
      <c r="J60" s="2" t="str">
        <f>IFERROR(__xludf.DUMMYFUNCTION("""COMPUTED_VALUE"""),"23-24")</f>
        <v>23-24</v>
      </c>
    </row>
    <row r="61">
      <c r="A61" s="2" t="str">
        <f>IFERROR(__xludf.DUMMYFUNCTION("""COMPUTED_VALUE"""),"5486438867")</f>
        <v>5486438867</v>
      </c>
      <c r="B61" s="2" t="str">
        <f>IFERROR(__xludf.DUMMYFUNCTION("""COMPUTED_VALUE"""),"Yee")</f>
        <v>Yee</v>
      </c>
      <c r="C61" s="2" t="str">
        <f>IFERROR(__xludf.DUMMYFUNCTION("""COMPUTED_VALUE"""),"Alina")</f>
        <v>Alina</v>
      </c>
      <c r="D61" s="4">
        <f>IFERROR(__xludf.DUMMYFUNCTION("""COMPUTED_VALUE"""),8.0)</f>
        <v>8</v>
      </c>
      <c r="E61" s="2" t="str">
        <f>IFERROR(__xludf.DUMMYFUNCTION("""COMPUTED_VALUE"""),"F")</f>
        <v>F</v>
      </c>
      <c r="F61" s="2" t="str">
        <f>IFERROR(__xludf.DUMMYFUNCTION("""COMPUTED_VALUE"""),"No, not Hispanic or Latino")</f>
        <v>No, not Hispanic or Latino</v>
      </c>
      <c r="G61" s="2" t="str">
        <f>IFERROR(__xludf.DUMMYFUNCTION("""COMPUTED_VALUE"""),"Chinese")</f>
        <v>Chinese</v>
      </c>
      <c r="H61" s="4">
        <f>IFERROR(__xludf.DUMMYFUNCTION("""COMPUTED_VALUE"""),1030.0)</f>
        <v>1030</v>
      </c>
      <c r="I61" s="2" t="str">
        <f>IFERROR(__xludf.DUMMYFUNCTION("""COMPUTED_VALUE"""),"000308")</f>
        <v>000308</v>
      </c>
      <c r="J61" s="2" t="str">
        <f>IFERROR(__xludf.DUMMYFUNCTION("""COMPUTED_VALUE"""),"23-24")</f>
        <v>23-24</v>
      </c>
    </row>
    <row r="62">
      <c r="A62" s="2" t="str">
        <f>IFERROR(__xludf.DUMMYFUNCTION("""COMPUTED_VALUE"""),"4976887454")</f>
        <v>4976887454</v>
      </c>
      <c r="B62" s="2" t="str">
        <f>IFERROR(__xludf.DUMMYFUNCTION("""COMPUTED_VALUE"""),"Alarcon")</f>
        <v>Alarcon</v>
      </c>
      <c r="C62" s="2" t="str">
        <f>IFERROR(__xludf.DUMMYFUNCTION("""COMPUTED_VALUE"""),"Tyler")</f>
        <v>Tyler</v>
      </c>
      <c r="D62" s="4">
        <f>IFERROR(__xludf.DUMMYFUNCTION("""COMPUTED_VALUE"""),8.0)</f>
        <v>8</v>
      </c>
      <c r="E62" s="2" t="str">
        <f>IFERROR(__xludf.DUMMYFUNCTION("""COMPUTED_VALUE"""),"M")</f>
        <v>M</v>
      </c>
      <c r="F62" s="2" t="str">
        <f>IFERROR(__xludf.DUMMYFUNCTION("""COMPUTED_VALUE"""),"Yes, Hispanic or Latino")</f>
        <v>Yes, Hispanic or Latino</v>
      </c>
      <c r="G62" s="2" t="str">
        <f>IFERROR(__xludf.DUMMYFUNCTION("""COMPUTED_VALUE"""),"White")</f>
        <v>White</v>
      </c>
      <c r="H62" s="4">
        <f>IFERROR(__xludf.DUMMYFUNCTION("""COMPUTED_VALUE"""),1030.0)</f>
        <v>1030</v>
      </c>
      <c r="I62" s="2" t="str">
        <f>IFERROR(__xludf.DUMMYFUNCTION("""COMPUTED_VALUE"""),"000308")</f>
        <v>000308</v>
      </c>
      <c r="J62" s="2" t="str">
        <f>IFERROR(__xludf.DUMMYFUNCTION("""COMPUTED_VALUE"""),"24-25")</f>
        <v>24-25</v>
      </c>
    </row>
    <row r="63">
      <c r="A63" s="2" t="str">
        <f>IFERROR(__xludf.DUMMYFUNCTION("""COMPUTED_VALUE"""),"4680924726")</f>
        <v>4680924726</v>
      </c>
      <c r="B63" s="2" t="str">
        <f>IFERROR(__xludf.DUMMYFUNCTION("""COMPUTED_VALUE"""),"Almallah")</f>
        <v>Almallah</v>
      </c>
      <c r="C63" s="2" t="str">
        <f>IFERROR(__xludf.DUMMYFUNCTION("""COMPUTED_VALUE"""),"Zyad")</f>
        <v>Zyad</v>
      </c>
      <c r="D63" s="4">
        <f>IFERROR(__xludf.DUMMYFUNCTION("""COMPUTED_VALUE"""),8.0)</f>
        <v>8</v>
      </c>
      <c r="E63" s="2" t="str">
        <f>IFERROR(__xludf.DUMMYFUNCTION("""COMPUTED_VALUE"""),"M")</f>
        <v>M</v>
      </c>
      <c r="F63" s="2" t="str">
        <f>IFERROR(__xludf.DUMMYFUNCTION("""COMPUTED_VALUE"""),"No, not Hispanic or Latino")</f>
        <v>No, not Hispanic or Latino</v>
      </c>
      <c r="G63" s="2" t="str">
        <f>IFERROR(__xludf.DUMMYFUNCTION("""COMPUTED_VALUE"""),"White")</f>
        <v>White</v>
      </c>
      <c r="H63" s="4">
        <f>IFERROR(__xludf.DUMMYFUNCTION("""COMPUTED_VALUE"""),1030.0)</f>
        <v>1030</v>
      </c>
      <c r="I63" s="2" t="str">
        <f>IFERROR(__xludf.DUMMYFUNCTION("""COMPUTED_VALUE"""),"000308")</f>
        <v>000308</v>
      </c>
      <c r="J63" s="2" t="str">
        <f>IFERROR(__xludf.DUMMYFUNCTION("""COMPUTED_VALUE"""),"24-25")</f>
        <v>24-25</v>
      </c>
    </row>
    <row r="64">
      <c r="A64" s="2" t="str">
        <f>IFERROR(__xludf.DUMMYFUNCTION("""COMPUTED_VALUE"""),"8714704781")</f>
        <v>8714704781</v>
      </c>
      <c r="B64" s="2" t="str">
        <f>IFERROR(__xludf.DUMMYFUNCTION("""COMPUTED_VALUE"""),"Arebalo")</f>
        <v>Arebalo</v>
      </c>
      <c r="C64" s="2" t="str">
        <f>IFERROR(__xludf.DUMMYFUNCTION("""COMPUTED_VALUE"""),"Lauren")</f>
        <v>Lauren</v>
      </c>
      <c r="D64" s="4">
        <f>IFERROR(__xludf.DUMMYFUNCTION("""COMPUTED_VALUE"""),8.0)</f>
        <v>8</v>
      </c>
      <c r="E64" s="2" t="str">
        <f>IFERROR(__xludf.DUMMYFUNCTION("""COMPUTED_VALUE"""),"F")</f>
        <v>F</v>
      </c>
      <c r="F64" s="2" t="str">
        <f>IFERROR(__xludf.DUMMYFUNCTION("""COMPUTED_VALUE"""),"No, not Hispanic or Latino")</f>
        <v>No, not Hispanic or Latino</v>
      </c>
      <c r="G64" s="2" t="str">
        <f>IFERROR(__xludf.DUMMYFUNCTION("""COMPUTED_VALUE"""),"White")</f>
        <v>White</v>
      </c>
      <c r="H64" s="4">
        <f>IFERROR(__xludf.DUMMYFUNCTION("""COMPUTED_VALUE"""),1030.0)</f>
        <v>1030</v>
      </c>
      <c r="I64" s="2" t="str">
        <f>IFERROR(__xludf.DUMMYFUNCTION("""COMPUTED_VALUE"""),"000308")</f>
        <v>000308</v>
      </c>
      <c r="J64" s="2" t="str">
        <f>IFERROR(__xludf.DUMMYFUNCTION("""COMPUTED_VALUE"""),"24-25")</f>
        <v>24-25</v>
      </c>
    </row>
    <row r="65">
      <c r="A65" s="2" t="str">
        <f>IFERROR(__xludf.DUMMYFUNCTION("""COMPUTED_VALUE"""),"2679815812")</f>
        <v>2679815812</v>
      </c>
      <c r="B65" s="2" t="str">
        <f>IFERROR(__xludf.DUMMYFUNCTION("""COMPUTED_VALUE"""),"Attri")</f>
        <v>Attri</v>
      </c>
      <c r="C65" s="2" t="str">
        <f>IFERROR(__xludf.DUMMYFUNCTION("""COMPUTED_VALUE"""),"Jayshan")</f>
        <v>Jayshan</v>
      </c>
      <c r="D65" s="4">
        <f>IFERROR(__xludf.DUMMYFUNCTION("""COMPUTED_VALUE"""),8.0)</f>
        <v>8</v>
      </c>
      <c r="E65" s="2" t="str">
        <f>IFERROR(__xludf.DUMMYFUNCTION("""COMPUTED_VALUE"""),"M")</f>
        <v>M</v>
      </c>
      <c r="F65" s="2" t="str">
        <f>IFERROR(__xludf.DUMMYFUNCTION("""COMPUTED_VALUE"""),"No, not Hispanic or Latino")</f>
        <v>No, not Hispanic or Latino</v>
      </c>
      <c r="G65" s="2" t="str">
        <f>IFERROR(__xludf.DUMMYFUNCTION("""COMPUTED_VALUE"""),"Asian Indian")</f>
        <v>Asian Indian</v>
      </c>
      <c r="H65" s="4">
        <f>IFERROR(__xludf.DUMMYFUNCTION("""COMPUTED_VALUE"""),1031.0)</f>
        <v>1031</v>
      </c>
      <c r="I65" s="2" t="str">
        <f>IFERROR(__xludf.DUMMYFUNCTION("""COMPUTED_VALUE"""),"000308")</f>
        <v>000308</v>
      </c>
      <c r="J65" s="2" t="str">
        <f>IFERROR(__xludf.DUMMYFUNCTION("""COMPUTED_VALUE"""),"24-25")</f>
        <v>24-25</v>
      </c>
    </row>
    <row r="66">
      <c r="A66" s="2" t="str">
        <f>IFERROR(__xludf.DUMMYFUNCTION("""COMPUTED_VALUE"""),"4187077288")</f>
        <v>4187077288</v>
      </c>
      <c r="B66" s="2" t="str">
        <f>IFERROR(__xludf.DUMMYFUNCTION("""COMPUTED_VALUE"""),"Brown")</f>
        <v>Brown</v>
      </c>
      <c r="C66" s="2" t="str">
        <f>IFERROR(__xludf.DUMMYFUNCTION("""COMPUTED_VALUE"""),"Ryan")</f>
        <v>Ryan</v>
      </c>
      <c r="D66" s="4">
        <f>IFERROR(__xludf.DUMMYFUNCTION("""COMPUTED_VALUE"""),8.0)</f>
        <v>8</v>
      </c>
      <c r="E66" s="2" t="str">
        <f>IFERROR(__xludf.DUMMYFUNCTION("""COMPUTED_VALUE"""),"M")</f>
        <v>M</v>
      </c>
      <c r="F66" s="2" t="str">
        <f>IFERROR(__xludf.DUMMYFUNCTION("""COMPUTED_VALUE"""),"No, not Hispanic or Latino")</f>
        <v>No, not Hispanic or Latino</v>
      </c>
      <c r="G66" s="2" t="str">
        <f>IFERROR(__xludf.DUMMYFUNCTION("""COMPUTED_VALUE"""),"White")</f>
        <v>White</v>
      </c>
      <c r="H66" s="4">
        <f>IFERROR(__xludf.DUMMYFUNCTION("""COMPUTED_VALUE"""),1030.0)</f>
        <v>1030</v>
      </c>
      <c r="I66" s="2" t="str">
        <f>IFERROR(__xludf.DUMMYFUNCTION("""COMPUTED_VALUE"""),"000308")</f>
        <v>000308</v>
      </c>
      <c r="J66" s="2" t="str">
        <f>IFERROR(__xludf.DUMMYFUNCTION("""COMPUTED_VALUE"""),"24-25")</f>
        <v>24-25</v>
      </c>
    </row>
    <row r="67">
      <c r="A67" s="2" t="str">
        <f>IFERROR(__xludf.DUMMYFUNCTION("""COMPUTED_VALUE"""),"4390212071")</f>
        <v>4390212071</v>
      </c>
      <c r="B67" s="2" t="str">
        <f>IFERROR(__xludf.DUMMYFUNCTION("""COMPUTED_VALUE"""),"Burgon")</f>
        <v>Burgon</v>
      </c>
      <c r="C67" s="2" t="str">
        <f>IFERROR(__xludf.DUMMYFUNCTION("""COMPUTED_VALUE"""),"Jane")</f>
        <v>Jane</v>
      </c>
      <c r="D67" s="4">
        <f>IFERROR(__xludf.DUMMYFUNCTION("""COMPUTED_VALUE"""),8.0)</f>
        <v>8</v>
      </c>
      <c r="E67" s="2" t="str">
        <f>IFERROR(__xludf.DUMMYFUNCTION("""COMPUTED_VALUE"""),"F")</f>
        <v>F</v>
      </c>
      <c r="F67" s="2" t="str">
        <f>IFERROR(__xludf.DUMMYFUNCTION("""COMPUTED_VALUE"""),"No, not Hispanic or Latino")</f>
        <v>No, not Hispanic or Latino</v>
      </c>
      <c r="G67" s="2" t="str">
        <f>IFERROR(__xludf.DUMMYFUNCTION("""COMPUTED_VALUE"""),"White")</f>
        <v>White</v>
      </c>
      <c r="H67" s="4">
        <f>IFERROR(__xludf.DUMMYFUNCTION("""COMPUTED_VALUE"""),1031.0)</f>
        <v>1031</v>
      </c>
      <c r="I67" s="2" t="str">
        <f>IFERROR(__xludf.DUMMYFUNCTION("""COMPUTED_VALUE"""),"000308")</f>
        <v>000308</v>
      </c>
      <c r="J67" s="2" t="str">
        <f>IFERROR(__xludf.DUMMYFUNCTION("""COMPUTED_VALUE"""),"24-25")</f>
        <v>24-25</v>
      </c>
    </row>
    <row r="68">
      <c r="A68" s="2" t="str">
        <f>IFERROR(__xludf.DUMMYFUNCTION("""COMPUTED_VALUE"""),"7513702492")</f>
        <v>7513702492</v>
      </c>
      <c r="B68" s="2" t="str">
        <f>IFERROR(__xludf.DUMMYFUNCTION("""COMPUTED_VALUE"""),"Campo")</f>
        <v>Campo</v>
      </c>
      <c r="C68" s="2" t="str">
        <f>IFERROR(__xludf.DUMMYFUNCTION("""COMPUTED_VALUE"""),"Lucia")</f>
        <v>Lucia</v>
      </c>
      <c r="D68" s="4">
        <f>IFERROR(__xludf.DUMMYFUNCTION("""COMPUTED_VALUE"""),8.0)</f>
        <v>8</v>
      </c>
      <c r="E68" s="2" t="str">
        <f>IFERROR(__xludf.DUMMYFUNCTION("""COMPUTED_VALUE"""),"F")</f>
        <v>F</v>
      </c>
      <c r="F68" s="2" t="str">
        <f>IFERROR(__xludf.DUMMYFUNCTION("""COMPUTED_VALUE"""),"No, not Hispanic or Latino")</f>
        <v>No, not Hispanic or Latino</v>
      </c>
      <c r="G68" s="2" t="str">
        <f>IFERROR(__xludf.DUMMYFUNCTION("""COMPUTED_VALUE"""),"Chinese")</f>
        <v>Chinese</v>
      </c>
      <c r="H68" s="4">
        <f>IFERROR(__xludf.DUMMYFUNCTION("""COMPUTED_VALUE"""),1030.0)</f>
        <v>1030</v>
      </c>
      <c r="I68" s="2" t="str">
        <f>IFERROR(__xludf.DUMMYFUNCTION("""COMPUTED_VALUE"""),"000308")</f>
        <v>000308</v>
      </c>
      <c r="J68" s="2" t="str">
        <f>IFERROR(__xludf.DUMMYFUNCTION("""COMPUTED_VALUE"""),"24-25")</f>
        <v>24-25</v>
      </c>
    </row>
    <row r="69">
      <c r="A69" s="2" t="str">
        <f>IFERROR(__xludf.DUMMYFUNCTION("""COMPUTED_VALUE"""),"7420262084")</f>
        <v>7420262084</v>
      </c>
      <c r="B69" s="2" t="str">
        <f>IFERROR(__xludf.DUMMYFUNCTION("""COMPUTED_VALUE"""),"Canellos")</f>
        <v>Canellos</v>
      </c>
      <c r="C69" s="2" t="str">
        <f>IFERROR(__xludf.DUMMYFUNCTION("""COMPUTED_VALUE"""),"Dregen")</f>
        <v>Dregen</v>
      </c>
      <c r="D69" s="4">
        <f>IFERROR(__xludf.DUMMYFUNCTION("""COMPUTED_VALUE"""),8.0)</f>
        <v>8</v>
      </c>
      <c r="E69" s="2" t="str">
        <f>IFERROR(__xludf.DUMMYFUNCTION("""COMPUTED_VALUE"""),"M")</f>
        <v>M</v>
      </c>
      <c r="F69" s="2" t="str">
        <f>IFERROR(__xludf.DUMMYFUNCTION("""COMPUTED_VALUE"""),"No, not Hispanic or Latino")</f>
        <v>No, not Hispanic or Latino</v>
      </c>
      <c r="G69" s="2" t="str">
        <f>IFERROR(__xludf.DUMMYFUNCTION("""COMPUTED_VALUE"""),"White")</f>
        <v>White</v>
      </c>
      <c r="H69" s="4">
        <f>IFERROR(__xludf.DUMMYFUNCTION("""COMPUTED_VALUE"""),1031.0)</f>
        <v>1031</v>
      </c>
      <c r="I69" s="2" t="str">
        <f>IFERROR(__xludf.DUMMYFUNCTION("""COMPUTED_VALUE"""),"000308")</f>
        <v>000308</v>
      </c>
      <c r="J69" s="2" t="str">
        <f>IFERROR(__xludf.DUMMYFUNCTION("""COMPUTED_VALUE"""),"24-25")</f>
        <v>24-25</v>
      </c>
    </row>
    <row r="70">
      <c r="A70" s="2" t="str">
        <f>IFERROR(__xludf.DUMMYFUNCTION("""COMPUTED_VALUE"""),"5026302371")</f>
        <v>5026302371</v>
      </c>
      <c r="B70" s="2" t="str">
        <f>IFERROR(__xludf.DUMMYFUNCTION("""COMPUTED_VALUE"""),"Carroll")</f>
        <v>Carroll</v>
      </c>
      <c r="C70" s="2" t="str">
        <f>IFERROR(__xludf.DUMMYFUNCTION("""COMPUTED_VALUE"""),"Sonia")</f>
        <v>Sonia</v>
      </c>
      <c r="D70" s="4">
        <f>IFERROR(__xludf.DUMMYFUNCTION("""COMPUTED_VALUE"""),8.0)</f>
        <v>8</v>
      </c>
      <c r="E70" s="2" t="str">
        <f>IFERROR(__xludf.DUMMYFUNCTION("""COMPUTED_VALUE"""),"F")</f>
        <v>F</v>
      </c>
      <c r="F70" s="2" t="str">
        <f>IFERROR(__xludf.DUMMYFUNCTION("""COMPUTED_VALUE"""),"No, not Hispanic or Latino")</f>
        <v>No, not Hispanic or Latino</v>
      </c>
      <c r="G70" s="2" t="str">
        <f>IFERROR(__xludf.DUMMYFUNCTION("""COMPUTED_VALUE"""),"White")</f>
        <v>White</v>
      </c>
      <c r="H70" s="4">
        <f>IFERROR(__xludf.DUMMYFUNCTION("""COMPUTED_VALUE"""),1031.0)</f>
        <v>1031</v>
      </c>
      <c r="I70" s="2" t="str">
        <f>IFERROR(__xludf.DUMMYFUNCTION("""COMPUTED_VALUE"""),"000308")</f>
        <v>000308</v>
      </c>
      <c r="J70" s="2" t="str">
        <f>IFERROR(__xludf.DUMMYFUNCTION("""COMPUTED_VALUE"""),"24-25")</f>
        <v>24-25</v>
      </c>
    </row>
    <row r="71">
      <c r="A71" s="2" t="str">
        <f>IFERROR(__xludf.DUMMYFUNCTION("""COMPUTED_VALUE"""),"7546451130")</f>
        <v>7546451130</v>
      </c>
      <c r="B71" s="2" t="str">
        <f>IFERROR(__xludf.DUMMYFUNCTION("""COMPUTED_VALUE"""),"Case")</f>
        <v>Case</v>
      </c>
      <c r="C71" s="2" t="str">
        <f>IFERROR(__xludf.DUMMYFUNCTION("""COMPUTED_VALUE"""),"Tyler")</f>
        <v>Tyler</v>
      </c>
      <c r="D71" s="4">
        <f>IFERROR(__xludf.DUMMYFUNCTION("""COMPUTED_VALUE"""),8.0)</f>
        <v>8</v>
      </c>
      <c r="E71" s="2" t="str">
        <f>IFERROR(__xludf.DUMMYFUNCTION("""COMPUTED_VALUE"""),"M")</f>
        <v>M</v>
      </c>
      <c r="F71" s="2" t="str">
        <f>IFERROR(__xludf.DUMMYFUNCTION("""COMPUTED_VALUE"""),"No, not Hispanic or Latino")</f>
        <v>No, not Hispanic or Latino</v>
      </c>
      <c r="G71" s="2" t="str">
        <f>IFERROR(__xludf.DUMMYFUNCTION("""COMPUTED_VALUE"""),"White")</f>
        <v>White</v>
      </c>
      <c r="H71" s="4">
        <f>IFERROR(__xludf.DUMMYFUNCTION("""COMPUTED_VALUE"""),1030.0)</f>
        <v>1030</v>
      </c>
      <c r="I71" s="2" t="str">
        <f>IFERROR(__xludf.DUMMYFUNCTION("""COMPUTED_VALUE"""),"000308")</f>
        <v>000308</v>
      </c>
      <c r="J71" s="2" t="str">
        <f>IFERROR(__xludf.DUMMYFUNCTION("""COMPUTED_VALUE"""),"24-25")</f>
        <v>24-25</v>
      </c>
    </row>
    <row r="72">
      <c r="A72" s="2" t="str">
        <f>IFERROR(__xludf.DUMMYFUNCTION("""COMPUTED_VALUE"""),"1155716774")</f>
        <v>1155716774</v>
      </c>
      <c r="B72" s="2" t="str">
        <f>IFERROR(__xludf.DUMMYFUNCTION("""COMPUTED_VALUE"""),"Chance")</f>
        <v>Chance</v>
      </c>
      <c r="C72" s="2" t="str">
        <f>IFERROR(__xludf.DUMMYFUNCTION("""COMPUTED_VALUE"""),"Hiro")</f>
        <v>Hiro</v>
      </c>
      <c r="D72" s="4">
        <f>IFERROR(__xludf.DUMMYFUNCTION("""COMPUTED_VALUE"""),8.0)</f>
        <v>8</v>
      </c>
      <c r="E72" s="2" t="str">
        <f>IFERROR(__xludf.DUMMYFUNCTION("""COMPUTED_VALUE"""),"M")</f>
        <v>M</v>
      </c>
      <c r="F72" s="2" t="str">
        <f>IFERROR(__xludf.DUMMYFUNCTION("""COMPUTED_VALUE"""),"No, not Hispanic or Latino")</f>
        <v>No, not Hispanic or Latino</v>
      </c>
      <c r="G72" s="2" t="str">
        <f>IFERROR(__xludf.DUMMYFUNCTION("""COMPUTED_VALUE"""),"Japanese")</f>
        <v>Japanese</v>
      </c>
      <c r="H72" s="4">
        <f>IFERROR(__xludf.DUMMYFUNCTION("""COMPUTED_VALUE"""),1030.0)</f>
        <v>1030</v>
      </c>
      <c r="I72" s="2" t="str">
        <f>IFERROR(__xludf.DUMMYFUNCTION("""COMPUTED_VALUE"""),"000308")</f>
        <v>000308</v>
      </c>
      <c r="J72" s="2" t="str">
        <f>IFERROR(__xludf.DUMMYFUNCTION("""COMPUTED_VALUE"""),"24-25")</f>
        <v>24-25</v>
      </c>
    </row>
    <row r="73">
      <c r="A73" s="2" t="str">
        <f>IFERROR(__xludf.DUMMYFUNCTION("""COMPUTED_VALUE"""),"1629553476")</f>
        <v>1629553476</v>
      </c>
      <c r="B73" s="2" t="str">
        <f>IFERROR(__xludf.DUMMYFUNCTION("""COMPUTED_VALUE"""),"Chaudhuri")</f>
        <v>Chaudhuri</v>
      </c>
      <c r="C73" s="2" t="str">
        <f>IFERROR(__xludf.DUMMYFUNCTION("""COMPUTED_VALUE"""),"Rayna")</f>
        <v>Rayna</v>
      </c>
      <c r="D73" s="4">
        <f>IFERROR(__xludf.DUMMYFUNCTION("""COMPUTED_VALUE"""),8.0)</f>
        <v>8</v>
      </c>
      <c r="E73" s="2" t="str">
        <f>IFERROR(__xludf.DUMMYFUNCTION("""COMPUTED_VALUE"""),"F")</f>
        <v>F</v>
      </c>
      <c r="F73" s="2" t="str">
        <f>IFERROR(__xludf.DUMMYFUNCTION("""COMPUTED_VALUE"""),"No, not Hispanic or Latino")</f>
        <v>No, not Hispanic or Latino</v>
      </c>
      <c r="G73" s="2" t="str">
        <f>IFERROR(__xludf.DUMMYFUNCTION("""COMPUTED_VALUE"""),"Asian Indian")</f>
        <v>Asian Indian</v>
      </c>
      <c r="H73" s="4">
        <f>IFERROR(__xludf.DUMMYFUNCTION("""COMPUTED_VALUE"""),1030.0)</f>
        <v>1030</v>
      </c>
      <c r="I73" s="2" t="str">
        <f>IFERROR(__xludf.DUMMYFUNCTION("""COMPUTED_VALUE"""),"000308")</f>
        <v>000308</v>
      </c>
      <c r="J73" s="2" t="str">
        <f>IFERROR(__xludf.DUMMYFUNCTION("""COMPUTED_VALUE"""),"24-25")</f>
        <v>24-25</v>
      </c>
    </row>
    <row r="74">
      <c r="A74" s="2" t="str">
        <f>IFERROR(__xludf.DUMMYFUNCTION("""COMPUTED_VALUE"""),"6311816831")</f>
        <v>6311816831</v>
      </c>
      <c r="B74" s="2" t="str">
        <f>IFERROR(__xludf.DUMMYFUNCTION("""COMPUTED_VALUE"""),"Cox")</f>
        <v>Cox</v>
      </c>
      <c r="C74" s="2" t="str">
        <f>IFERROR(__xludf.DUMMYFUNCTION("""COMPUTED_VALUE"""),"Noah")</f>
        <v>Noah</v>
      </c>
      <c r="D74" s="4">
        <f>IFERROR(__xludf.DUMMYFUNCTION("""COMPUTED_VALUE"""),8.0)</f>
        <v>8</v>
      </c>
      <c r="E74" s="2" t="str">
        <f>IFERROR(__xludf.DUMMYFUNCTION("""COMPUTED_VALUE"""),"M")</f>
        <v>M</v>
      </c>
      <c r="F74" s="2" t="str">
        <f>IFERROR(__xludf.DUMMYFUNCTION("""COMPUTED_VALUE"""),"No, not Hispanic or Latino")</f>
        <v>No, not Hispanic or Latino</v>
      </c>
      <c r="G74" s="2" t="str">
        <f>IFERROR(__xludf.DUMMYFUNCTION("""COMPUTED_VALUE"""),"Japanese")</f>
        <v>Japanese</v>
      </c>
      <c r="H74" s="4">
        <f>IFERROR(__xludf.DUMMYFUNCTION("""COMPUTED_VALUE"""),1031.0)</f>
        <v>1031</v>
      </c>
      <c r="I74" s="2" t="str">
        <f>IFERROR(__xludf.DUMMYFUNCTION("""COMPUTED_VALUE"""),"000308")</f>
        <v>000308</v>
      </c>
      <c r="J74" s="2" t="str">
        <f>IFERROR(__xludf.DUMMYFUNCTION("""COMPUTED_VALUE"""),"24-25")</f>
        <v>24-25</v>
      </c>
    </row>
    <row r="75">
      <c r="A75" s="2" t="str">
        <f>IFERROR(__xludf.DUMMYFUNCTION("""COMPUTED_VALUE"""),"7646139988")</f>
        <v>7646139988</v>
      </c>
      <c r="B75" s="2" t="str">
        <f>IFERROR(__xludf.DUMMYFUNCTION("""COMPUTED_VALUE"""),"Denmark")</f>
        <v>Denmark</v>
      </c>
      <c r="C75" s="2" t="str">
        <f>IFERROR(__xludf.DUMMYFUNCTION("""COMPUTED_VALUE"""),"Emma")</f>
        <v>Emma</v>
      </c>
      <c r="D75" s="4">
        <f>IFERROR(__xludf.DUMMYFUNCTION("""COMPUTED_VALUE"""),8.0)</f>
        <v>8</v>
      </c>
      <c r="E75" s="2" t="str">
        <f>IFERROR(__xludf.DUMMYFUNCTION("""COMPUTED_VALUE"""),"F")</f>
        <v>F</v>
      </c>
      <c r="F75" s="2" t="str">
        <f>IFERROR(__xludf.DUMMYFUNCTION("""COMPUTED_VALUE"""),"No, not Hispanic or Latino")</f>
        <v>No, not Hispanic or Latino</v>
      </c>
      <c r="G75" s="2" t="str">
        <f>IFERROR(__xludf.DUMMYFUNCTION("""COMPUTED_VALUE"""),"White")</f>
        <v>White</v>
      </c>
      <c r="H75" s="4">
        <f>IFERROR(__xludf.DUMMYFUNCTION("""COMPUTED_VALUE"""),1031.0)</f>
        <v>1031</v>
      </c>
      <c r="I75" s="2" t="str">
        <f>IFERROR(__xludf.DUMMYFUNCTION("""COMPUTED_VALUE"""),"000308")</f>
        <v>000308</v>
      </c>
      <c r="J75" s="2" t="str">
        <f>IFERROR(__xludf.DUMMYFUNCTION("""COMPUTED_VALUE"""),"24-25")</f>
        <v>24-25</v>
      </c>
    </row>
    <row r="76">
      <c r="A76" s="2" t="str">
        <f>IFERROR(__xludf.DUMMYFUNCTION("""COMPUTED_VALUE"""),"8451629460")</f>
        <v>8451629460</v>
      </c>
      <c r="B76" s="2" t="str">
        <f>IFERROR(__xludf.DUMMYFUNCTION("""COMPUTED_VALUE"""),"Dusinski")</f>
        <v>Dusinski</v>
      </c>
      <c r="C76" s="2" t="str">
        <f>IFERROR(__xludf.DUMMYFUNCTION("""COMPUTED_VALUE"""),"Ian")</f>
        <v>Ian</v>
      </c>
      <c r="D76" s="4">
        <f>IFERROR(__xludf.DUMMYFUNCTION("""COMPUTED_VALUE"""),8.0)</f>
        <v>8</v>
      </c>
      <c r="E76" s="2" t="str">
        <f>IFERROR(__xludf.DUMMYFUNCTION("""COMPUTED_VALUE"""),"M")</f>
        <v>M</v>
      </c>
      <c r="F76" s="2" t="str">
        <f>IFERROR(__xludf.DUMMYFUNCTION("""COMPUTED_VALUE"""),"No, not Hispanic or Latino")</f>
        <v>No, not Hispanic or Latino</v>
      </c>
      <c r="G76" s="2" t="str">
        <f>IFERROR(__xludf.DUMMYFUNCTION("""COMPUTED_VALUE"""),"White")</f>
        <v>White</v>
      </c>
      <c r="H76" s="4">
        <f>IFERROR(__xludf.DUMMYFUNCTION("""COMPUTED_VALUE"""),1030.0)</f>
        <v>1030</v>
      </c>
      <c r="I76" s="2" t="str">
        <f>IFERROR(__xludf.DUMMYFUNCTION("""COMPUTED_VALUE"""),"000308")</f>
        <v>000308</v>
      </c>
      <c r="J76" s="2" t="str">
        <f>IFERROR(__xludf.DUMMYFUNCTION("""COMPUTED_VALUE"""),"24-25")</f>
        <v>24-25</v>
      </c>
    </row>
    <row r="77">
      <c r="A77" s="2" t="str">
        <f>IFERROR(__xludf.DUMMYFUNCTION("""COMPUTED_VALUE"""),"7095756003")</f>
        <v>7095756003</v>
      </c>
      <c r="B77" s="2" t="str">
        <f>IFERROR(__xludf.DUMMYFUNCTION("""COMPUTED_VALUE"""),"Evens")</f>
        <v>Evens</v>
      </c>
      <c r="C77" s="2" t="str">
        <f>IFERROR(__xludf.DUMMYFUNCTION("""COMPUTED_VALUE"""),"Nathaniel")</f>
        <v>Nathaniel</v>
      </c>
      <c r="D77" s="4">
        <f>IFERROR(__xludf.DUMMYFUNCTION("""COMPUTED_VALUE"""),8.0)</f>
        <v>8</v>
      </c>
      <c r="E77" s="2" t="str">
        <f>IFERROR(__xludf.DUMMYFUNCTION("""COMPUTED_VALUE"""),"M")</f>
        <v>M</v>
      </c>
      <c r="F77" s="2" t="str">
        <f>IFERROR(__xludf.DUMMYFUNCTION("""COMPUTED_VALUE"""),"No, not Hispanic or Latino")</f>
        <v>No, not Hispanic or Latino</v>
      </c>
      <c r="G77" s="2" t="str">
        <f>IFERROR(__xludf.DUMMYFUNCTION("""COMPUTED_VALUE"""),"White")</f>
        <v>White</v>
      </c>
      <c r="H77" s="4">
        <f>IFERROR(__xludf.DUMMYFUNCTION("""COMPUTED_VALUE"""),1031.0)</f>
        <v>1031</v>
      </c>
      <c r="I77" s="2" t="str">
        <f>IFERROR(__xludf.DUMMYFUNCTION("""COMPUTED_VALUE"""),"000308")</f>
        <v>000308</v>
      </c>
      <c r="J77" s="2" t="str">
        <f>IFERROR(__xludf.DUMMYFUNCTION("""COMPUTED_VALUE"""),"24-25")</f>
        <v>24-25</v>
      </c>
    </row>
    <row r="78">
      <c r="A78" s="2" t="str">
        <f>IFERROR(__xludf.DUMMYFUNCTION("""COMPUTED_VALUE"""),"1008364173")</f>
        <v>1008364173</v>
      </c>
      <c r="B78" s="2" t="str">
        <f>IFERROR(__xludf.DUMMYFUNCTION("""COMPUTED_VALUE"""),"Fuette")</f>
        <v>Fuette</v>
      </c>
      <c r="C78" s="2" t="str">
        <f>IFERROR(__xludf.DUMMYFUNCTION("""COMPUTED_VALUE"""),"Isla")</f>
        <v>Isla</v>
      </c>
      <c r="D78" s="4">
        <f>IFERROR(__xludf.DUMMYFUNCTION("""COMPUTED_VALUE"""),8.0)</f>
        <v>8</v>
      </c>
      <c r="E78" s="2" t="str">
        <f>IFERROR(__xludf.DUMMYFUNCTION("""COMPUTED_VALUE"""),"F")</f>
        <v>F</v>
      </c>
      <c r="F78" s="2" t="str">
        <f>IFERROR(__xludf.DUMMYFUNCTION("""COMPUTED_VALUE"""),"No, not Hispanic or Latino")</f>
        <v>No, not Hispanic or Latino</v>
      </c>
      <c r="G78" s="2" t="str">
        <f>IFERROR(__xludf.DUMMYFUNCTION("""COMPUTED_VALUE"""),"Filipino")</f>
        <v>Filipino</v>
      </c>
      <c r="H78" s="4">
        <f>IFERROR(__xludf.DUMMYFUNCTION("""COMPUTED_VALUE"""),1031.0)</f>
        <v>1031</v>
      </c>
      <c r="I78" s="2" t="str">
        <f>IFERROR(__xludf.DUMMYFUNCTION("""COMPUTED_VALUE"""),"000308")</f>
        <v>000308</v>
      </c>
      <c r="J78" s="2" t="str">
        <f>IFERROR(__xludf.DUMMYFUNCTION("""COMPUTED_VALUE"""),"24-25")</f>
        <v>24-25</v>
      </c>
    </row>
    <row r="79">
      <c r="A79" s="2" t="str">
        <f>IFERROR(__xludf.DUMMYFUNCTION("""COMPUTED_VALUE"""),"5518141154")</f>
        <v>5518141154</v>
      </c>
      <c r="B79" s="2" t="str">
        <f>IFERROR(__xludf.DUMMYFUNCTION("""COMPUTED_VALUE"""),"Gan")</f>
        <v>Gan</v>
      </c>
      <c r="C79" s="2" t="str">
        <f>IFERROR(__xludf.DUMMYFUNCTION("""COMPUTED_VALUE"""),"Tina")</f>
        <v>Tina</v>
      </c>
      <c r="D79" s="4">
        <f>IFERROR(__xludf.DUMMYFUNCTION("""COMPUTED_VALUE"""),8.0)</f>
        <v>8</v>
      </c>
      <c r="E79" s="2" t="str">
        <f>IFERROR(__xludf.DUMMYFUNCTION("""COMPUTED_VALUE"""),"F")</f>
        <v>F</v>
      </c>
      <c r="F79" s="2" t="str">
        <f>IFERROR(__xludf.DUMMYFUNCTION("""COMPUTED_VALUE"""),"No, not Hispanic or Latino")</f>
        <v>No, not Hispanic or Latino</v>
      </c>
      <c r="G79" s="2" t="str">
        <f>IFERROR(__xludf.DUMMYFUNCTION("""COMPUTED_VALUE"""),"Chinese")</f>
        <v>Chinese</v>
      </c>
      <c r="H79" s="4">
        <f>IFERROR(__xludf.DUMMYFUNCTION("""COMPUTED_VALUE"""),1030.0)</f>
        <v>1030</v>
      </c>
      <c r="I79" s="2" t="str">
        <f>IFERROR(__xludf.DUMMYFUNCTION("""COMPUTED_VALUE"""),"000308")</f>
        <v>000308</v>
      </c>
      <c r="J79" s="2" t="str">
        <f>IFERROR(__xludf.DUMMYFUNCTION("""COMPUTED_VALUE"""),"24-25")</f>
        <v>24-25</v>
      </c>
    </row>
    <row r="80">
      <c r="A80" s="2" t="str">
        <f>IFERROR(__xludf.DUMMYFUNCTION("""COMPUTED_VALUE"""),"7076633951")</f>
        <v>7076633951</v>
      </c>
      <c r="B80" s="2" t="str">
        <f>IFERROR(__xludf.DUMMYFUNCTION("""COMPUTED_VALUE"""),"Ganorkar")</f>
        <v>Ganorkar</v>
      </c>
      <c r="C80" s="2" t="str">
        <f>IFERROR(__xludf.DUMMYFUNCTION("""COMPUTED_VALUE"""),"Madhukar")</f>
        <v>Madhukar</v>
      </c>
      <c r="D80" s="4">
        <f>IFERROR(__xludf.DUMMYFUNCTION("""COMPUTED_VALUE"""),8.0)</f>
        <v>8</v>
      </c>
      <c r="E80" s="2" t="str">
        <f>IFERROR(__xludf.DUMMYFUNCTION("""COMPUTED_VALUE"""),"M")</f>
        <v>M</v>
      </c>
      <c r="F80" s="2" t="str">
        <f>IFERROR(__xludf.DUMMYFUNCTION("""COMPUTED_VALUE"""),"No, not Hispanic or Latino")</f>
        <v>No, not Hispanic or Latino</v>
      </c>
      <c r="G80" s="2" t="str">
        <f>IFERROR(__xludf.DUMMYFUNCTION("""COMPUTED_VALUE"""),"White")</f>
        <v>White</v>
      </c>
      <c r="H80" s="4">
        <f>IFERROR(__xludf.DUMMYFUNCTION("""COMPUTED_VALUE"""),1030.0)</f>
        <v>1030</v>
      </c>
      <c r="I80" s="2" t="str">
        <f>IFERROR(__xludf.DUMMYFUNCTION("""COMPUTED_VALUE"""),"000308")</f>
        <v>000308</v>
      </c>
      <c r="J80" s="2" t="str">
        <f>IFERROR(__xludf.DUMMYFUNCTION("""COMPUTED_VALUE"""),"24-25")</f>
        <v>24-25</v>
      </c>
    </row>
    <row r="81">
      <c r="A81" s="2" t="str">
        <f>IFERROR(__xludf.DUMMYFUNCTION("""COMPUTED_VALUE"""),"9607691913")</f>
        <v>9607691913</v>
      </c>
      <c r="B81" s="2" t="str">
        <f>IFERROR(__xludf.DUMMYFUNCTION("""COMPUTED_VALUE"""),"Gazanchiyants")</f>
        <v>Gazanchiyants</v>
      </c>
      <c r="C81" s="2" t="str">
        <f>IFERROR(__xludf.DUMMYFUNCTION("""COMPUTED_VALUE"""),"Lukyan")</f>
        <v>Lukyan</v>
      </c>
      <c r="D81" s="4">
        <f>IFERROR(__xludf.DUMMYFUNCTION("""COMPUTED_VALUE"""),8.0)</f>
        <v>8</v>
      </c>
      <c r="E81" s="2" t="str">
        <f>IFERROR(__xludf.DUMMYFUNCTION("""COMPUTED_VALUE"""),"M")</f>
        <v>M</v>
      </c>
      <c r="F81" s="2" t="str">
        <f>IFERROR(__xludf.DUMMYFUNCTION("""COMPUTED_VALUE"""),"No, not Hispanic or Latino")</f>
        <v>No, not Hispanic or Latino</v>
      </c>
      <c r="G81" s="2" t="str">
        <f>IFERROR(__xludf.DUMMYFUNCTION("""COMPUTED_VALUE"""),"White")</f>
        <v>White</v>
      </c>
      <c r="H81" s="4">
        <f>IFERROR(__xludf.DUMMYFUNCTION("""COMPUTED_VALUE"""),1030.0)</f>
        <v>1030</v>
      </c>
      <c r="I81" s="2" t="str">
        <f>IFERROR(__xludf.DUMMYFUNCTION("""COMPUTED_VALUE"""),"000308")</f>
        <v>000308</v>
      </c>
      <c r="J81" s="2" t="str">
        <f>IFERROR(__xludf.DUMMYFUNCTION("""COMPUTED_VALUE"""),"24-25")</f>
        <v>24-25</v>
      </c>
    </row>
    <row r="82">
      <c r="A82" s="2" t="str">
        <f>IFERROR(__xludf.DUMMYFUNCTION("""COMPUTED_VALUE"""),"7947451743")</f>
        <v>7947451743</v>
      </c>
      <c r="B82" s="2" t="str">
        <f>IFERROR(__xludf.DUMMYFUNCTION("""COMPUTED_VALUE"""),"Gray")</f>
        <v>Gray</v>
      </c>
      <c r="C82" s="2" t="str">
        <f>IFERROR(__xludf.DUMMYFUNCTION("""COMPUTED_VALUE"""),"Lincoln")</f>
        <v>Lincoln</v>
      </c>
      <c r="D82" s="4">
        <f>IFERROR(__xludf.DUMMYFUNCTION("""COMPUTED_VALUE"""),8.0)</f>
        <v>8</v>
      </c>
      <c r="E82" s="2" t="str">
        <f>IFERROR(__xludf.DUMMYFUNCTION("""COMPUTED_VALUE"""),"M")</f>
        <v>M</v>
      </c>
      <c r="F82" s="2" t="str">
        <f>IFERROR(__xludf.DUMMYFUNCTION("""COMPUTED_VALUE"""),"No, not Hispanic or Latino")</f>
        <v>No, not Hispanic or Latino</v>
      </c>
      <c r="G82" s="2" t="str">
        <f>IFERROR(__xludf.DUMMYFUNCTION("""COMPUTED_VALUE"""),"White")</f>
        <v>White</v>
      </c>
      <c r="H82" s="4">
        <f>IFERROR(__xludf.DUMMYFUNCTION("""COMPUTED_VALUE"""),1031.0)</f>
        <v>1031</v>
      </c>
      <c r="I82" s="2" t="str">
        <f>IFERROR(__xludf.DUMMYFUNCTION("""COMPUTED_VALUE"""),"000308")</f>
        <v>000308</v>
      </c>
      <c r="J82" s="2" t="str">
        <f>IFERROR(__xludf.DUMMYFUNCTION("""COMPUTED_VALUE"""),"24-25")</f>
        <v>24-25</v>
      </c>
    </row>
    <row r="83">
      <c r="A83" s="2" t="str">
        <f>IFERROR(__xludf.DUMMYFUNCTION("""COMPUTED_VALUE"""),"6651159524")</f>
        <v>6651159524</v>
      </c>
      <c r="B83" s="2" t="str">
        <f>IFERROR(__xludf.DUMMYFUNCTION("""COMPUTED_VALUE"""),"Grinchenko")</f>
        <v>Grinchenko</v>
      </c>
      <c r="C83" s="2" t="str">
        <f>IFERROR(__xludf.DUMMYFUNCTION("""COMPUTED_VALUE"""),"Vadim")</f>
        <v>Vadim</v>
      </c>
      <c r="D83" s="4">
        <f>IFERROR(__xludf.DUMMYFUNCTION("""COMPUTED_VALUE"""),8.0)</f>
        <v>8</v>
      </c>
      <c r="E83" s="2" t="str">
        <f>IFERROR(__xludf.DUMMYFUNCTION("""COMPUTED_VALUE"""),"M")</f>
        <v>M</v>
      </c>
      <c r="F83" s="2" t="str">
        <f>IFERROR(__xludf.DUMMYFUNCTION("""COMPUTED_VALUE"""),"No, not Hispanic or Latino")</f>
        <v>No, not Hispanic or Latino</v>
      </c>
      <c r="G83" s="2" t="str">
        <f>IFERROR(__xludf.DUMMYFUNCTION("""COMPUTED_VALUE"""),"White")</f>
        <v>White</v>
      </c>
      <c r="H83" s="4">
        <f>IFERROR(__xludf.DUMMYFUNCTION("""COMPUTED_VALUE"""),1030.0)</f>
        <v>1030</v>
      </c>
      <c r="I83" s="2" t="str">
        <f>IFERROR(__xludf.DUMMYFUNCTION("""COMPUTED_VALUE"""),"000308")</f>
        <v>000308</v>
      </c>
      <c r="J83" s="2" t="str">
        <f>IFERROR(__xludf.DUMMYFUNCTION("""COMPUTED_VALUE"""),"24-25")</f>
        <v>24-25</v>
      </c>
    </row>
    <row r="84">
      <c r="A84" s="2" t="str">
        <f>IFERROR(__xludf.DUMMYFUNCTION("""COMPUTED_VALUE"""),"5998181872")</f>
        <v>5998181872</v>
      </c>
      <c r="B84" s="2" t="str">
        <f>IFERROR(__xludf.DUMMYFUNCTION("""COMPUTED_VALUE"""),"Hadden")</f>
        <v>Hadden</v>
      </c>
      <c r="C84" s="2" t="str">
        <f>IFERROR(__xludf.DUMMYFUNCTION("""COMPUTED_VALUE"""),"Emilio")</f>
        <v>Emilio</v>
      </c>
      <c r="D84" s="4">
        <f>IFERROR(__xludf.DUMMYFUNCTION("""COMPUTED_VALUE"""),8.0)</f>
        <v>8</v>
      </c>
      <c r="E84" s="2" t="str">
        <f>IFERROR(__xludf.DUMMYFUNCTION("""COMPUTED_VALUE"""),"M")</f>
        <v>M</v>
      </c>
      <c r="F84" s="2" t="str">
        <f>IFERROR(__xludf.DUMMYFUNCTION("""COMPUTED_VALUE"""),"Yes, Hispanic or Latino")</f>
        <v>Yes, Hispanic or Latino</v>
      </c>
      <c r="G84" s="2" t="str">
        <f>IFERROR(__xludf.DUMMYFUNCTION("""COMPUTED_VALUE"""),"White")</f>
        <v>White</v>
      </c>
      <c r="H84" s="4">
        <f>IFERROR(__xludf.DUMMYFUNCTION("""COMPUTED_VALUE"""),1031.0)</f>
        <v>1031</v>
      </c>
      <c r="I84" s="2" t="str">
        <f>IFERROR(__xludf.DUMMYFUNCTION("""COMPUTED_VALUE"""),"000308")</f>
        <v>000308</v>
      </c>
      <c r="J84" s="2" t="str">
        <f>IFERROR(__xludf.DUMMYFUNCTION("""COMPUTED_VALUE"""),"24-25")</f>
        <v>24-25</v>
      </c>
    </row>
    <row r="85">
      <c r="A85" s="2" t="str">
        <f>IFERROR(__xludf.DUMMYFUNCTION("""COMPUTED_VALUE"""),"7510316602")</f>
        <v>7510316602</v>
      </c>
      <c r="B85" s="2" t="str">
        <f>IFERROR(__xludf.DUMMYFUNCTION("""COMPUTED_VALUE"""),"Hamelin")</f>
        <v>Hamelin</v>
      </c>
      <c r="C85" s="2" t="str">
        <f>IFERROR(__xludf.DUMMYFUNCTION("""COMPUTED_VALUE"""),"Mei")</f>
        <v>Mei</v>
      </c>
      <c r="D85" s="4">
        <f>IFERROR(__xludf.DUMMYFUNCTION("""COMPUTED_VALUE"""),8.0)</f>
        <v>8</v>
      </c>
      <c r="E85" s="2" t="str">
        <f>IFERROR(__xludf.DUMMYFUNCTION("""COMPUTED_VALUE"""),"F")</f>
        <v>F</v>
      </c>
      <c r="F85" s="2" t="str">
        <f>IFERROR(__xludf.DUMMYFUNCTION("""COMPUTED_VALUE"""),"No, not Hispanic or Latino")</f>
        <v>No, not Hispanic or Latino</v>
      </c>
      <c r="G85" s="2" t="str">
        <f>IFERROR(__xludf.DUMMYFUNCTION("""COMPUTED_VALUE"""),"White")</f>
        <v>White</v>
      </c>
      <c r="H85" s="4">
        <f>IFERROR(__xludf.DUMMYFUNCTION("""COMPUTED_VALUE"""),1030.0)</f>
        <v>1030</v>
      </c>
      <c r="I85" s="2" t="str">
        <f>IFERROR(__xludf.DUMMYFUNCTION("""COMPUTED_VALUE"""),"000308")</f>
        <v>000308</v>
      </c>
      <c r="J85" s="2" t="str">
        <f>IFERROR(__xludf.DUMMYFUNCTION("""COMPUTED_VALUE"""),"24-25")</f>
        <v>24-25</v>
      </c>
    </row>
    <row r="86">
      <c r="A86" s="2" t="str">
        <f>IFERROR(__xludf.DUMMYFUNCTION("""COMPUTED_VALUE"""),"8622758744")</f>
        <v>8622758744</v>
      </c>
      <c r="B86" s="2" t="str">
        <f>IFERROR(__xludf.DUMMYFUNCTION("""COMPUTED_VALUE"""),"Henry")</f>
        <v>Henry</v>
      </c>
      <c r="C86" s="2" t="str">
        <f>IFERROR(__xludf.DUMMYFUNCTION("""COMPUTED_VALUE"""),"Ayla")</f>
        <v>Ayla</v>
      </c>
      <c r="D86" s="4">
        <f>IFERROR(__xludf.DUMMYFUNCTION("""COMPUTED_VALUE"""),8.0)</f>
        <v>8</v>
      </c>
      <c r="E86" s="2" t="str">
        <f>IFERROR(__xludf.DUMMYFUNCTION("""COMPUTED_VALUE"""),"F")</f>
        <v>F</v>
      </c>
      <c r="F86" s="2" t="str">
        <f>IFERROR(__xludf.DUMMYFUNCTION("""COMPUTED_VALUE"""),"No, not Hispanic or Latino")</f>
        <v>No, not Hispanic or Latino</v>
      </c>
      <c r="G86" s="2" t="str">
        <f>IFERROR(__xludf.DUMMYFUNCTION("""COMPUTED_VALUE"""),"White")</f>
        <v>White</v>
      </c>
      <c r="H86" s="4">
        <f>IFERROR(__xludf.DUMMYFUNCTION("""COMPUTED_VALUE"""),1030.0)</f>
        <v>1030</v>
      </c>
      <c r="I86" s="2" t="str">
        <f>IFERROR(__xludf.DUMMYFUNCTION("""COMPUTED_VALUE"""),"000308")</f>
        <v>000308</v>
      </c>
      <c r="J86" s="2" t="str">
        <f>IFERROR(__xludf.DUMMYFUNCTION("""COMPUTED_VALUE"""),"24-25")</f>
        <v>24-25</v>
      </c>
    </row>
    <row r="87">
      <c r="A87" s="2" t="str">
        <f>IFERROR(__xludf.DUMMYFUNCTION("""COMPUTED_VALUE"""),"2284886968")</f>
        <v>2284886968</v>
      </c>
      <c r="B87" s="2" t="str">
        <f>IFERROR(__xludf.DUMMYFUNCTION("""COMPUTED_VALUE"""),"Iyer")</f>
        <v>Iyer</v>
      </c>
      <c r="C87" s="2" t="str">
        <f>IFERROR(__xludf.DUMMYFUNCTION("""COMPUTED_VALUE"""),"Bodhi")</f>
        <v>Bodhi</v>
      </c>
      <c r="D87" s="4">
        <f>IFERROR(__xludf.DUMMYFUNCTION("""COMPUTED_VALUE"""),8.0)</f>
        <v>8</v>
      </c>
      <c r="E87" s="2" t="str">
        <f>IFERROR(__xludf.DUMMYFUNCTION("""COMPUTED_VALUE"""),"M")</f>
        <v>M</v>
      </c>
      <c r="F87" s="2" t="str">
        <f>IFERROR(__xludf.DUMMYFUNCTION("""COMPUTED_VALUE"""),"No, not Hispanic or Latino")</f>
        <v>No, not Hispanic or Latino</v>
      </c>
      <c r="G87" s="2" t="str">
        <f>IFERROR(__xludf.DUMMYFUNCTION("""COMPUTED_VALUE"""),"Asian Indian")</f>
        <v>Asian Indian</v>
      </c>
      <c r="H87" s="4">
        <f>IFERROR(__xludf.DUMMYFUNCTION("""COMPUTED_VALUE"""),1031.0)</f>
        <v>1031</v>
      </c>
      <c r="I87" s="2" t="str">
        <f>IFERROR(__xludf.DUMMYFUNCTION("""COMPUTED_VALUE"""),"000308")</f>
        <v>000308</v>
      </c>
      <c r="J87" s="2" t="str">
        <f>IFERROR(__xludf.DUMMYFUNCTION("""COMPUTED_VALUE"""),"24-25")</f>
        <v>24-25</v>
      </c>
    </row>
    <row r="88">
      <c r="A88" s="2" t="str">
        <f>IFERROR(__xludf.DUMMYFUNCTION("""COMPUTED_VALUE"""),"7187902255")</f>
        <v>7187902255</v>
      </c>
      <c r="B88" s="2" t="str">
        <f>IFERROR(__xludf.DUMMYFUNCTION("""COMPUTED_VALUE"""),"Kemp")</f>
        <v>Kemp</v>
      </c>
      <c r="C88" s="2" t="str">
        <f>IFERROR(__xludf.DUMMYFUNCTION("""COMPUTED_VALUE"""),"Midori")</f>
        <v>Midori</v>
      </c>
      <c r="D88" s="4">
        <f>IFERROR(__xludf.DUMMYFUNCTION("""COMPUTED_VALUE"""),8.0)</f>
        <v>8</v>
      </c>
      <c r="E88" s="2" t="str">
        <f>IFERROR(__xludf.DUMMYFUNCTION("""COMPUTED_VALUE"""),"F")</f>
        <v>F</v>
      </c>
      <c r="F88" s="2" t="str">
        <f>IFERROR(__xludf.DUMMYFUNCTION("""COMPUTED_VALUE"""),"No, not Hispanic or Latino")</f>
        <v>No, not Hispanic or Latino</v>
      </c>
      <c r="G88" s="2" t="str">
        <f>IFERROR(__xludf.DUMMYFUNCTION("""COMPUTED_VALUE"""),"Japanese")</f>
        <v>Japanese</v>
      </c>
      <c r="H88" s="4">
        <f>IFERROR(__xludf.DUMMYFUNCTION("""COMPUTED_VALUE"""),1030.0)</f>
        <v>1030</v>
      </c>
      <c r="I88" s="2" t="str">
        <f>IFERROR(__xludf.DUMMYFUNCTION("""COMPUTED_VALUE"""),"000308")</f>
        <v>000308</v>
      </c>
      <c r="J88" s="2" t="str">
        <f>IFERROR(__xludf.DUMMYFUNCTION("""COMPUTED_VALUE"""),"24-25")</f>
        <v>24-25</v>
      </c>
    </row>
    <row r="89">
      <c r="A89" s="2" t="str">
        <f>IFERROR(__xludf.DUMMYFUNCTION("""COMPUTED_VALUE"""),"4592007854")</f>
        <v>4592007854</v>
      </c>
      <c r="B89" s="2" t="str">
        <f>IFERROR(__xludf.DUMMYFUNCTION("""COMPUTED_VALUE"""),"Kurlan")</f>
        <v>Kurlan</v>
      </c>
      <c r="C89" s="2" t="str">
        <f>IFERROR(__xludf.DUMMYFUNCTION("""COMPUTED_VALUE"""),"Sophie")</f>
        <v>Sophie</v>
      </c>
      <c r="D89" s="4">
        <f>IFERROR(__xludf.DUMMYFUNCTION("""COMPUTED_VALUE"""),8.0)</f>
        <v>8</v>
      </c>
      <c r="E89" s="2" t="str">
        <f>IFERROR(__xludf.DUMMYFUNCTION("""COMPUTED_VALUE"""),"F")</f>
        <v>F</v>
      </c>
      <c r="F89" s="2" t="str">
        <f>IFERROR(__xludf.DUMMYFUNCTION("""COMPUTED_VALUE"""),"No, not Hispanic or Latino")</f>
        <v>No, not Hispanic or Latino</v>
      </c>
      <c r="G89" s="2" t="str">
        <f>IFERROR(__xludf.DUMMYFUNCTION("""COMPUTED_VALUE"""),"White")</f>
        <v>White</v>
      </c>
      <c r="H89" s="4">
        <f>IFERROR(__xludf.DUMMYFUNCTION("""COMPUTED_VALUE"""),1030.0)</f>
        <v>1030</v>
      </c>
      <c r="I89" s="2" t="str">
        <f>IFERROR(__xludf.DUMMYFUNCTION("""COMPUTED_VALUE"""),"000308")</f>
        <v>000308</v>
      </c>
      <c r="J89" s="2" t="str">
        <f>IFERROR(__xludf.DUMMYFUNCTION("""COMPUTED_VALUE"""),"24-25")</f>
        <v>24-25</v>
      </c>
    </row>
    <row r="90">
      <c r="A90" s="2" t="str">
        <f>IFERROR(__xludf.DUMMYFUNCTION("""COMPUTED_VALUE"""),"8253743747")</f>
        <v>8253743747</v>
      </c>
      <c r="B90" s="2" t="str">
        <f>IFERROR(__xludf.DUMMYFUNCTION("""COMPUTED_VALUE"""),"Lendler")</f>
        <v>Lendler</v>
      </c>
      <c r="C90" s="2" t="str">
        <f>IFERROR(__xludf.DUMMYFUNCTION("""COMPUTED_VALUE"""),"Dylan")</f>
        <v>Dylan</v>
      </c>
      <c r="D90" s="4">
        <f>IFERROR(__xludf.DUMMYFUNCTION("""COMPUTED_VALUE"""),8.0)</f>
        <v>8</v>
      </c>
      <c r="E90" s="2" t="str">
        <f>IFERROR(__xludf.DUMMYFUNCTION("""COMPUTED_VALUE"""),"M")</f>
        <v>M</v>
      </c>
      <c r="F90" s="2" t="str">
        <f>IFERROR(__xludf.DUMMYFUNCTION("""COMPUTED_VALUE"""),"No, not Hispanic or Latino")</f>
        <v>No, not Hispanic or Latino</v>
      </c>
      <c r="G90" s="2" t="str">
        <f>IFERROR(__xludf.DUMMYFUNCTION("""COMPUTED_VALUE"""),"White")</f>
        <v>White</v>
      </c>
      <c r="H90" s="4">
        <f>IFERROR(__xludf.DUMMYFUNCTION("""COMPUTED_VALUE"""),1031.0)</f>
        <v>1031</v>
      </c>
      <c r="I90" s="2" t="str">
        <f>IFERROR(__xludf.DUMMYFUNCTION("""COMPUTED_VALUE"""),"000308")</f>
        <v>000308</v>
      </c>
      <c r="J90" s="2" t="str">
        <f>IFERROR(__xludf.DUMMYFUNCTION("""COMPUTED_VALUE"""),"24-25")</f>
        <v>24-25</v>
      </c>
    </row>
    <row r="91">
      <c r="A91" s="2" t="str">
        <f>IFERROR(__xludf.DUMMYFUNCTION("""COMPUTED_VALUE"""),"9420870150")</f>
        <v>9420870150</v>
      </c>
      <c r="B91" s="2" t="str">
        <f>IFERROR(__xludf.DUMMYFUNCTION("""COMPUTED_VALUE"""),"Levy")</f>
        <v>Levy</v>
      </c>
      <c r="C91" s="2" t="str">
        <f>IFERROR(__xludf.DUMMYFUNCTION("""COMPUTED_VALUE"""),"Gabrian")</f>
        <v>Gabrian</v>
      </c>
      <c r="D91" s="4">
        <f>IFERROR(__xludf.DUMMYFUNCTION("""COMPUTED_VALUE"""),8.0)</f>
        <v>8</v>
      </c>
      <c r="E91" s="2" t="str">
        <f>IFERROR(__xludf.DUMMYFUNCTION("""COMPUTED_VALUE"""),"M")</f>
        <v>M</v>
      </c>
      <c r="F91" s="2" t="str">
        <f>IFERROR(__xludf.DUMMYFUNCTION("""COMPUTED_VALUE"""),"Yes, Hispanic or Latino")</f>
        <v>Yes, Hispanic or Latino</v>
      </c>
      <c r="G91" s="2" t="str">
        <f>IFERROR(__xludf.DUMMYFUNCTION("""COMPUTED_VALUE"""),"White")</f>
        <v>White</v>
      </c>
      <c r="H91" s="4">
        <f>IFERROR(__xludf.DUMMYFUNCTION("""COMPUTED_VALUE"""),1031.0)</f>
        <v>1031</v>
      </c>
      <c r="I91" s="2" t="str">
        <f>IFERROR(__xludf.DUMMYFUNCTION("""COMPUTED_VALUE"""),"000308")</f>
        <v>000308</v>
      </c>
      <c r="J91" s="2" t="str">
        <f>IFERROR(__xludf.DUMMYFUNCTION("""COMPUTED_VALUE"""),"24-25")</f>
        <v>24-25</v>
      </c>
    </row>
    <row r="92">
      <c r="A92" s="2" t="str">
        <f>IFERROR(__xludf.DUMMYFUNCTION("""COMPUTED_VALUE"""),"5924738867")</f>
        <v>5924738867</v>
      </c>
      <c r="B92" s="2" t="str">
        <f>IFERROR(__xludf.DUMMYFUNCTION("""COMPUTED_VALUE"""),"Lewis")</f>
        <v>Lewis</v>
      </c>
      <c r="C92" s="2" t="str">
        <f>IFERROR(__xludf.DUMMYFUNCTION("""COMPUTED_VALUE"""),"Nathaniel")</f>
        <v>Nathaniel</v>
      </c>
      <c r="D92" s="4">
        <f>IFERROR(__xludf.DUMMYFUNCTION("""COMPUTED_VALUE"""),8.0)</f>
        <v>8</v>
      </c>
      <c r="E92" s="2" t="str">
        <f>IFERROR(__xludf.DUMMYFUNCTION("""COMPUTED_VALUE"""),"M")</f>
        <v>M</v>
      </c>
      <c r="F92" s="2" t="str">
        <f>IFERROR(__xludf.DUMMYFUNCTION("""COMPUTED_VALUE"""),"No, not Hispanic or Latino")</f>
        <v>No, not Hispanic or Latino</v>
      </c>
      <c r="G92" s="2" t="str">
        <f>IFERROR(__xludf.DUMMYFUNCTION("""COMPUTED_VALUE"""),"White")</f>
        <v>White</v>
      </c>
      <c r="H92" s="4">
        <f>IFERROR(__xludf.DUMMYFUNCTION("""COMPUTED_VALUE"""),1030.0)</f>
        <v>1030</v>
      </c>
      <c r="I92" s="2" t="str">
        <f>IFERROR(__xludf.DUMMYFUNCTION("""COMPUTED_VALUE"""),"000308")</f>
        <v>000308</v>
      </c>
      <c r="J92" s="2" t="str">
        <f>IFERROR(__xludf.DUMMYFUNCTION("""COMPUTED_VALUE"""),"24-25")</f>
        <v>24-25</v>
      </c>
    </row>
    <row r="93">
      <c r="A93" s="2" t="str">
        <f>IFERROR(__xludf.DUMMYFUNCTION("""COMPUTED_VALUE"""),"5609329503")</f>
        <v>5609329503</v>
      </c>
      <c r="B93" s="2" t="str">
        <f>IFERROR(__xludf.DUMMYFUNCTION("""COMPUTED_VALUE"""),"Liu")</f>
        <v>Liu</v>
      </c>
      <c r="C93" s="2" t="str">
        <f>IFERROR(__xludf.DUMMYFUNCTION("""COMPUTED_VALUE"""),"Narissa")</f>
        <v>Narissa</v>
      </c>
      <c r="D93" s="4">
        <f>IFERROR(__xludf.DUMMYFUNCTION("""COMPUTED_VALUE"""),8.0)</f>
        <v>8</v>
      </c>
      <c r="E93" s="2" t="str">
        <f>IFERROR(__xludf.DUMMYFUNCTION("""COMPUTED_VALUE"""),"F")</f>
        <v>F</v>
      </c>
      <c r="F93" s="2" t="str">
        <f>IFERROR(__xludf.DUMMYFUNCTION("""COMPUTED_VALUE"""),"No, not Hispanic or Latino")</f>
        <v>No, not Hispanic or Latino</v>
      </c>
      <c r="G93" s="2" t="str">
        <f>IFERROR(__xludf.DUMMYFUNCTION("""COMPUTED_VALUE"""),"Chinese")</f>
        <v>Chinese</v>
      </c>
      <c r="H93" s="4">
        <f>IFERROR(__xludf.DUMMYFUNCTION("""COMPUTED_VALUE"""),1031.0)</f>
        <v>1031</v>
      </c>
      <c r="I93" s="2" t="str">
        <f>IFERROR(__xludf.DUMMYFUNCTION("""COMPUTED_VALUE"""),"000308")</f>
        <v>000308</v>
      </c>
      <c r="J93" s="2" t="str">
        <f>IFERROR(__xludf.DUMMYFUNCTION("""COMPUTED_VALUE"""),"24-25")</f>
        <v>24-25</v>
      </c>
    </row>
    <row r="94">
      <c r="A94" s="2" t="str">
        <f>IFERROR(__xludf.DUMMYFUNCTION("""COMPUTED_VALUE"""),"4762852648")</f>
        <v>4762852648</v>
      </c>
      <c r="B94" s="2" t="str">
        <f>IFERROR(__xludf.DUMMYFUNCTION("""COMPUTED_VALUE"""),"Ma")</f>
        <v>Ma</v>
      </c>
      <c r="C94" s="2" t="str">
        <f>IFERROR(__xludf.DUMMYFUNCTION("""COMPUTED_VALUE"""),"Joseph")</f>
        <v>Joseph</v>
      </c>
      <c r="D94" s="4">
        <f>IFERROR(__xludf.DUMMYFUNCTION("""COMPUTED_VALUE"""),8.0)</f>
        <v>8</v>
      </c>
      <c r="E94" s="2" t="str">
        <f>IFERROR(__xludf.DUMMYFUNCTION("""COMPUTED_VALUE"""),"M")</f>
        <v>M</v>
      </c>
      <c r="F94" s="2" t="str">
        <f>IFERROR(__xludf.DUMMYFUNCTION("""COMPUTED_VALUE"""),"No, not Hispanic or Latino")</f>
        <v>No, not Hispanic or Latino</v>
      </c>
      <c r="G94" s="2" t="str">
        <f>IFERROR(__xludf.DUMMYFUNCTION("""COMPUTED_VALUE"""),"Chinese")</f>
        <v>Chinese</v>
      </c>
      <c r="H94" s="4">
        <f>IFERROR(__xludf.DUMMYFUNCTION("""COMPUTED_VALUE"""),1031.0)</f>
        <v>1031</v>
      </c>
      <c r="I94" s="2" t="str">
        <f>IFERROR(__xludf.DUMMYFUNCTION("""COMPUTED_VALUE"""),"000308")</f>
        <v>000308</v>
      </c>
      <c r="J94" s="2" t="str">
        <f>IFERROR(__xludf.DUMMYFUNCTION("""COMPUTED_VALUE"""),"24-25")</f>
        <v>24-25</v>
      </c>
    </row>
    <row r="95">
      <c r="A95" s="2" t="str">
        <f>IFERROR(__xludf.DUMMYFUNCTION("""COMPUTED_VALUE"""),"2369426477")</f>
        <v>2369426477</v>
      </c>
      <c r="B95" s="2" t="str">
        <f>IFERROR(__xludf.DUMMYFUNCTION("""COMPUTED_VALUE"""),"Marin")</f>
        <v>Marin</v>
      </c>
      <c r="C95" s="2" t="str">
        <f>IFERROR(__xludf.DUMMYFUNCTION("""COMPUTED_VALUE"""),"Ava")</f>
        <v>Ava</v>
      </c>
      <c r="D95" s="4">
        <f>IFERROR(__xludf.DUMMYFUNCTION("""COMPUTED_VALUE"""),8.0)</f>
        <v>8</v>
      </c>
      <c r="E95" s="2" t="str">
        <f>IFERROR(__xludf.DUMMYFUNCTION("""COMPUTED_VALUE"""),"F")</f>
        <v>F</v>
      </c>
      <c r="F95" s="2" t="str">
        <f>IFERROR(__xludf.DUMMYFUNCTION("""COMPUTED_VALUE"""),"No, not Hispanic or Latino")</f>
        <v>No, not Hispanic or Latino</v>
      </c>
      <c r="G95" s="2" t="str">
        <f>IFERROR(__xludf.DUMMYFUNCTION("""COMPUTED_VALUE"""),"White")</f>
        <v>White</v>
      </c>
      <c r="H95" s="4">
        <f>IFERROR(__xludf.DUMMYFUNCTION("""COMPUTED_VALUE"""),1031.0)</f>
        <v>1031</v>
      </c>
      <c r="I95" s="2" t="str">
        <f>IFERROR(__xludf.DUMMYFUNCTION("""COMPUTED_VALUE"""),"000308")</f>
        <v>000308</v>
      </c>
      <c r="J95" s="2" t="str">
        <f>IFERROR(__xludf.DUMMYFUNCTION("""COMPUTED_VALUE"""),"24-25")</f>
        <v>24-25</v>
      </c>
    </row>
    <row r="96">
      <c r="A96" s="2" t="str">
        <f>IFERROR(__xludf.DUMMYFUNCTION("""COMPUTED_VALUE"""),"2007195491")</f>
        <v>2007195491</v>
      </c>
      <c r="B96" s="2" t="str">
        <f>IFERROR(__xludf.DUMMYFUNCTION("""COMPUTED_VALUE"""),"Marsh")</f>
        <v>Marsh</v>
      </c>
      <c r="C96" s="2" t="str">
        <f>IFERROR(__xludf.DUMMYFUNCTION("""COMPUTED_VALUE"""),"Maddox")</f>
        <v>Maddox</v>
      </c>
      <c r="D96" s="4">
        <f>IFERROR(__xludf.DUMMYFUNCTION("""COMPUTED_VALUE"""),8.0)</f>
        <v>8</v>
      </c>
      <c r="E96" s="2" t="str">
        <f>IFERROR(__xludf.DUMMYFUNCTION("""COMPUTED_VALUE"""),"M")</f>
        <v>M</v>
      </c>
      <c r="F96" s="2" t="str">
        <f>IFERROR(__xludf.DUMMYFUNCTION("""COMPUTED_VALUE"""),"No, not Hispanic or Latino")</f>
        <v>No, not Hispanic or Latino</v>
      </c>
      <c r="G96" s="2" t="str">
        <f>IFERROR(__xludf.DUMMYFUNCTION("""COMPUTED_VALUE"""),"White")</f>
        <v>White</v>
      </c>
      <c r="H96" s="4">
        <f>IFERROR(__xludf.DUMMYFUNCTION("""COMPUTED_VALUE"""),1031.0)</f>
        <v>1031</v>
      </c>
      <c r="I96" s="2" t="str">
        <f>IFERROR(__xludf.DUMMYFUNCTION("""COMPUTED_VALUE"""),"000308")</f>
        <v>000308</v>
      </c>
      <c r="J96" s="2" t="str">
        <f>IFERROR(__xludf.DUMMYFUNCTION("""COMPUTED_VALUE"""),"24-25")</f>
        <v>24-25</v>
      </c>
    </row>
    <row r="97">
      <c r="A97" s="2" t="str">
        <f>IFERROR(__xludf.DUMMYFUNCTION("""COMPUTED_VALUE"""),"7068776286")</f>
        <v>7068776286</v>
      </c>
      <c r="B97" s="2" t="str">
        <f>IFERROR(__xludf.DUMMYFUNCTION("""COMPUTED_VALUE"""),"Matthies")</f>
        <v>Matthies</v>
      </c>
      <c r="C97" s="2" t="str">
        <f>IFERROR(__xludf.DUMMYFUNCTION("""COMPUTED_VALUE"""),"Lilian")</f>
        <v>Lilian</v>
      </c>
      <c r="D97" s="4">
        <f>IFERROR(__xludf.DUMMYFUNCTION("""COMPUTED_VALUE"""),8.0)</f>
        <v>8</v>
      </c>
      <c r="E97" s="2" t="str">
        <f>IFERROR(__xludf.DUMMYFUNCTION("""COMPUTED_VALUE"""),"F")</f>
        <v>F</v>
      </c>
      <c r="F97" s="2" t="str">
        <f>IFERROR(__xludf.DUMMYFUNCTION("""COMPUTED_VALUE"""),"No, not Hispanic or Latino")</f>
        <v>No, not Hispanic or Latino</v>
      </c>
      <c r="G97" s="2" t="str">
        <f>IFERROR(__xludf.DUMMYFUNCTION("""COMPUTED_VALUE"""),"White")</f>
        <v>White</v>
      </c>
      <c r="H97" s="4">
        <f>IFERROR(__xludf.DUMMYFUNCTION("""COMPUTED_VALUE"""),1030.0)</f>
        <v>1030</v>
      </c>
      <c r="I97" s="2" t="str">
        <f>IFERROR(__xludf.DUMMYFUNCTION("""COMPUTED_VALUE"""),"000308")</f>
        <v>000308</v>
      </c>
      <c r="J97" s="2" t="str">
        <f>IFERROR(__xludf.DUMMYFUNCTION("""COMPUTED_VALUE"""),"24-25")</f>
        <v>24-25</v>
      </c>
    </row>
    <row r="98">
      <c r="A98" s="2" t="str">
        <f>IFERROR(__xludf.DUMMYFUNCTION("""COMPUTED_VALUE"""),"4779788275")</f>
        <v>4779788275</v>
      </c>
      <c r="B98" s="2" t="str">
        <f>IFERROR(__xludf.DUMMYFUNCTION("""COMPUTED_VALUE"""),"Meneau")</f>
        <v>Meneau</v>
      </c>
      <c r="C98" s="2" t="str">
        <f>IFERROR(__xludf.DUMMYFUNCTION("""COMPUTED_VALUE"""),"Charles")</f>
        <v>Charles</v>
      </c>
      <c r="D98" s="4">
        <f>IFERROR(__xludf.DUMMYFUNCTION("""COMPUTED_VALUE"""),8.0)</f>
        <v>8</v>
      </c>
      <c r="E98" s="2" t="str">
        <f>IFERROR(__xludf.DUMMYFUNCTION("""COMPUTED_VALUE"""),"M")</f>
        <v>M</v>
      </c>
      <c r="F98" s="2" t="str">
        <f>IFERROR(__xludf.DUMMYFUNCTION("""COMPUTED_VALUE"""),"No, not Hispanic or Latino")</f>
        <v>No, not Hispanic or Latino</v>
      </c>
      <c r="G98" s="2" t="str">
        <f>IFERROR(__xludf.DUMMYFUNCTION("""COMPUTED_VALUE"""),"White")</f>
        <v>White</v>
      </c>
      <c r="H98" s="4">
        <f>IFERROR(__xludf.DUMMYFUNCTION("""COMPUTED_VALUE"""),1030.0)</f>
        <v>1030</v>
      </c>
      <c r="I98" s="2" t="str">
        <f>IFERROR(__xludf.DUMMYFUNCTION("""COMPUTED_VALUE"""),"000308")</f>
        <v>000308</v>
      </c>
      <c r="J98" s="2" t="str">
        <f>IFERROR(__xludf.DUMMYFUNCTION("""COMPUTED_VALUE"""),"24-25")</f>
        <v>24-25</v>
      </c>
    </row>
    <row r="99">
      <c r="A99" s="2" t="str">
        <f>IFERROR(__xludf.DUMMYFUNCTION("""COMPUTED_VALUE"""),"5146216229")</f>
        <v>5146216229</v>
      </c>
      <c r="B99" s="2" t="str">
        <f>IFERROR(__xludf.DUMMYFUNCTION("""COMPUTED_VALUE"""),"Minnich")</f>
        <v>Minnich</v>
      </c>
      <c r="C99" s="2" t="str">
        <f>IFERROR(__xludf.DUMMYFUNCTION("""COMPUTED_VALUE"""),"Ethan")</f>
        <v>Ethan</v>
      </c>
      <c r="D99" s="4">
        <f>IFERROR(__xludf.DUMMYFUNCTION("""COMPUTED_VALUE"""),8.0)</f>
        <v>8</v>
      </c>
      <c r="E99" s="2" t="str">
        <f>IFERROR(__xludf.DUMMYFUNCTION("""COMPUTED_VALUE"""),"M")</f>
        <v>M</v>
      </c>
      <c r="F99" s="2" t="str">
        <f>IFERROR(__xludf.DUMMYFUNCTION("""COMPUTED_VALUE"""),"No, not Hispanic or Latino")</f>
        <v>No, not Hispanic or Latino</v>
      </c>
      <c r="G99" s="2" t="str">
        <f>IFERROR(__xludf.DUMMYFUNCTION("""COMPUTED_VALUE"""),"White")</f>
        <v>White</v>
      </c>
      <c r="H99" s="4">
        <f>IFERROR(__xludf.DUMMYFUNCTION("""COMPUTED_VALUE"""),1031.0)</f>
        <v>1031</v>
      </c>
      <c r="I99" s="2" t="str">
        <f>IFERROR(__xludf.DUMMYFUNCTION("""COMPUTED_VALUE"""),"000308")</f>
        <v>000308</v>
      </c>
      <c r="J99" s="2" t="str">
        <f>IFERROR(__xludf.DUMMYFUNCTION("""COMPUTED_VALUE"""),"24-25")</f>
        <v>24-25</v>
      </c>
    </row>
    <row r="100">
      <c r="A100" s="2" t="str">
        <f>IFERROR(__xludf.DUMMYFUNCTION("""COMPUTED_VALUE"""),"2956524748")</f>
        <v>2956524748</v>
      </c>
      <c r="B100" s="2" t="str">
        <f>IFERROR(__xludf.DUMMYFUNCTION("""COMPUTED_VALUE"""),"Molloy")</f>
        <v>Molloy</v>
      </c>
      <c r="C100" s="2" t="str">
        <f>IFERROR(__xludf.DUMMYFUNCTION("""COMPUTED_VALUE"""),"Daniel")</f>
        <v>Daniel</v>
      </c>
      <c r="D100" s="4">
        <f>IFERROR(__xludf.DUMMYFUNCTION("""COMPUTED_VALUE"""),8.0)</f>
        <v>8</v>
      </c>
      <c r="E100" s="2" t="str">
        <f>IFERROR(__xludf.DUMMYFUNCTION("""COMPUTED_VALUE"""),"M")</f>
        <v>M</v>
      </c>
      <c r="F100" s="2" t="str">
        <f>IFERROR(__xludf.DUMMYFUNCTION("""COMPUTED_VALUE"""),"No, not Hispanic or Latino")</f>
        <v>No, not Hispanic or Latino</v>
      </c>
      <c r="G100" s="2" t="str">
        <f>IFERROR(__xludf.DUMMYFUNCTION("""COMPUTED_VALUE"""),"Samoan")</f>
        <v>Samoan</v>
      </c>
      <c r="H100" s="4">
        <f>IFERROR(__xludf.DUMMYFUNCTION("""COMPUTED_VALUE"""),1030.0)</f>
        <v>1030</v>
      </c>
      <c r="I100" s="2" t="str">
        <f>IFERROR(__xludf.DUMMYFUNCTION("""COMPUTED_VALUE"""),"000308")</f>
        <v>000308</v>
      </c>
      <c r="J100" s="2" t="str">
        <f>IFERROR(__xludf.DUMMYFUNCTION("""COMPUTED_VALUE"""),"24-25")</f>
        <v>24-25</v>
      </c>
    </row>
    <row r="101">
      <c r="A101" s="2" t="str">
        <f>IFERROR(__xludf.DUMMYFUNCTION("""COMPUTED_VALUE"""),"5180354324")</f>
        <v>5180354324</v>
      </c>
      <c r="B101" s="2" t="str">
        <f>IFERROR(__xludf.DUMMYFUNCTION("""COMPUTED_VALUE"""),"Moshashaee")</f>
        <v>Moshashaee</v>
      </c>
      <c r="C101" s="2" t="str">
        <f>IFERROR(__xludf.DUMMYFUNCTION("""COMPUTED_VALUE"""),"Deanna")</f>
        <v>Deanna</v>
      </c>
      <c r="D101" s="4">
        <f>IFERROR(__xludf.DUMMYFUNCTION("""COMPUTED_VALUE"""),8.0)</f>
        <v>8</v>
      </c>
      <c r="E101" s="2" t="str">
        <f>IFERROR(__xludf.DUMMYFUNCTION("""COMPUTED_VALUE"""),"F")</f>
        <v>F</v>
      </c>
      <c r="F101" s="2" t="str">
        <f>IFERROR(__xludf.DUMMYFUNCTION("""COMPUTED_VALUE"""),"No, not Hispanic or Latino")</f>
        <v>No, not Hispanic or Latino</v>
      </c>
      <c r="G101" s="2" t="str">
        <f>IFERROR(__xludf.DUMMYFUNCTION("""COMPUTED_VALUE"""),"White")</f>
        <v>White</v>
      </c>
      <c r="H101" s="4">
        <f>IFERROR(__xludf.DUMMYFUNCTION("""COMPUTED_VALUE"""),1031.0)</f>
        <v>1031</v>
      </c>
      <c r="I101" s="2" t="str">
        <f>IFERROR(__xludf.DUMMYFUNCTION("""COMPUTED_VALUE"""),"000308")</f>
        <v>000308</v>
      </c>
      <c r="J101" s="2" t="str">
        <f>IFERROR(__xludf.DUMMYFUNCTION("""COMPUTED_VALUE"""),"24-25")</f>
        <v>24-25</v>
      </c>
    </row>
    <row r="102">
      <c r="A102" s="2" t="str">
        <f>IFERROR(__xludf.DUMMYFUNCTION("""COMPUTED_VALUE"""),"3580952174")</f>
        <v>3580952174</v>
      </c>
      <c r="B102" s="2" t="str">
        <f>IFERROR(__xludf.DUMMYFUNCTION("""COMPUTED_VALUE"""),"Namburu")</f>
        <v>Namburu</v>
      </c>
      <c r="C102" s="2" t="str">
        <f>IFERROR(__xludf.DUMMYFUNCTION("""COMPUTED_VALUE"""),"Sahiti")</f>
        <v>Sahiti</v>
      </c>
      <c r="D102" s="4">
        <f>IFERROR(__xludf.DUMMYFUNCTION("""COMPUTED_VALUE"""),8.0)</f>
        <v>8</v>
      </c>
      <c r="E102" s="2" t="str">
        <f>IFERROR(__xludf.DUMMYFUNCTION("""COMPUTED_VALUE"""),"F")</f>
        <v>F</v>
      </c>
      <c r="F102" s="2" t="str">
        <f>IFERROR(__xludf.DUMMYFUNCTION("""COMPUTED_VALUE"""),"No, not Hispanic or Latino")</f>
        <v>No, not Hispanic or Latino</v>
      </c>
      <c r="G102" s="2" t="str">
        <f>IFERROR(__xludf.DUMMYFUNCTION("""COMPUTED_VALUE"""),"Asian Indian")</f>
        <v>Asian Indian</v>
      </c>
      <c r="H102" s="4">
        <f>IFERROR(__xludf.DUMMYFUNCTION("""COMPUTED_VALUE"""),1031.0)</f>
        <v>1031</v>
      </c>
      <c r="I102" s="2" t="str">
        <f>IFERROR(__xludf.DUMMYFUNCTION("""COMPUTED_VALUE"""),"000308")</f>
        <v>000308</v>
      </c>
      <c r="J102" s="2" t="str">
        <f>IFERROR(__xludf.DUMMYFUNCTION("""COMPUTED_VALUE"""),"24-25")</f>
        <v>24-25</v>
      </c>
    </row>
    <row r="103">
      <c r="A103" s="2" t="str">
        <f>IFERROR(__xludf.DUMMYFUNCTION("""COMPUTED_VALUE"""),"7951262332")</f>
        <v>7951262332</v>
      </c>
      <c r="B103" s="2" t="str">
        <f>IFERROR(__xludf.DUMMYFUNCTION("""COMPUTED_VALUE"""),"Newhoff")</f>
        <v>Newhoff</v>
      </c>
      <c r="C103" s="2" t="str">
        <f>IFERROR(__xludf.DUMMYFUNCTION("""COMPUTED_VALUE"""),"Charlie")</f>
        <v>Charlie</v>
      </c>
      <c r="D103" s="4">
        <f>IFERROR(__xludf.DUMMYFUNCTION("""COMPUTED_VALUE"""),8.0)</f>
        <v>8</v>
      </c>
      <c r="E103" s="2" t="str">
        <f>IFERROR(__xludf.DUMMYFUNCTION("""COMPUTED_VALUE"""),"F")</f>
        <v>F</v>
      </c>
      <c r="F103" s="2" t="str">
        <f>IFERROR(__xludf.DUMMYFUNCTION("""COMPUTED_VALUE"""),"No, not Hispanic or Latino")</f>
        <v>No, not Hispanic or Latino</v>
      </c>
      <c r="G103" s="2" t="str">
        <f>IFERROR(__xludf.DUMMYFUNCTION("""COMPUTED_VALUE"""),"Black or African American")</f>
        <v>Black or African American</v>
      </c>
      <c r="H103" s="4">
        <f>IFERROR(__xludf.DUMMYFUNCTION("""COMPUTED_VALUE"""),1031.0)</f>
        <v>1031</v>
      </c>
      <c r="I103" s="2" t="str">
        <f>IFERROR(__xludf.DUMMYFUNCTION("""COMPUTED_VALUE"""),"000308")</f>
        <v>000308</v>
      </c>
      <c r="J103" s="2" t="str">
        <f>IFERROR(__xludf.DUMMYFUNCTION("""COMPUTED_VALUE"""),"24-25")</f>
        <v>24-25</v>
      </c>
    </row>
    <row r="104">
      <c r="A104" s="2" t="str">
        <f>IFERROR(__xludf.DUMMYFUNCTION("""COMPUTED_VALUE"""),"1691476558")</f>
        <v>1691476558</v>
      </c>
      <c r="B104" s="2" t="str">
        <f>IFERROR(__xludf.DUMMYFUNCTION("""COMPUTED_VALUE"""),"Nguyen")</f>
        <v>Nguyen</v>
      </c>
      <c r="C104" s="2" t="str">
        <f>IFERROR(__xludf.DUMMYFUNCTION("""COMPUTED_VALUE"""),"Camden")</f>
        <v>Camden</v>
      </c>
      <c r="D104" s="4">
        <f>IFERROR(__xludf.DUMMYFUNCTION("""COMPUTED_VALUE"""),8.0)</f>
        <v>8</v>
      </c>
      <c r="E104" s="2" t="str">
        <f>IFERROR(__xludf.DUMMYFUNCTION("""COMPUTED_VALUE"""),"M")</f>
        <v>M</v>
      </c>
      <c r="F104" s="2" t="str">
        <f>IFERROR(__xludf.DUMMYFUNCTION("""COMPUTED_VALUE"""),"No, not Hispanic or Latino")</f>
        <v>No, not Hispanic or Latino</v>
      </c>
      <c r="G104" s="2" t="str">
        <f>IFERROR(__xludf.DUMMYFUNCTION("""COMPUTED_VALUE"""),"White")</f>
        <v>White</v>
      </c>
      <c r="H104" s="4">
        <f>IFERROR(__xludf.DUMMYFUNCTION("""COMPUTED_VALUE"""),1031.0)</f>
        <v>1031</v>
      </c>
      <c r="I104" s="2" t="str">
        <f>IFERROR(__xludf.DUMMYFUNCTION("""COMPUTED_VALUE"""),"000308")</f>
        <v>000308</v>
      </c>
      <c r="J104" s="2" t="str">
        <f>IFERROR(__xludf.DUMMYFUNCTION("""COMPUTED_VALUE"""),"24-25")</f>
        <v>24-25</v>
      </c>
    </row>
    <row r="105">
      <c r="A105" s="2" t="str">
        <f>IFERROR(__xludf.DUMMYFUNCTION("""COMPUTED_VALUE"""),"7552727381")</f>
        <v>7552727381</v>
      </c>
      <c r="B105" s="2" t="str">
        <f>IFERROR(__xludf.DUMMYFUNCTION("""COMPUTED_VALUE"""),"Patel")</f>
        <v>Patel</v>
      </c>
      <c r="C105" s="2" t="str">
        <f>IFERROR(__xludf.DUMMYFUNCTION("""COMPUTED_VALUE"""),"Kaylin")</f>
        <v>Kaylin</v>
      </c>
      <c r="D105" s="4">
        <f>IFERROR(__xludf.DUMMYFUNCTION("""COMPUTED_VALUE"""),8.0)</f>
        <v>8</v>
      </c>
      <c r="E105" s="2" t="str">
        <f>IFERROR(__xludf.DUMMYFUNCTION("""COMPUTED_VALUE"""),"F")</f>
        <v>F</v>
      </c>
      <c r="F105" s="2" t="str">
        <f>IFERROR(__xludf.DUMMYFUNCTION("""COMPUTED_VALUE"""),"No, not Hispanic or Latino")</f>
        <v>No, not Hispanic or Latino</v>
      </c>
      <c r="G105" s="2" t="str">
        <f>IFERROR(__xludf.DUMMYFUNCTION("""COMPUTED_VALUE"""),"Asian Indian")</f>
        <v>Asian Indian</v>
      </c>
      <c r="H105" s="4">
        <f>IFERROR(__xludf.DUMMYFUNCTION("""COMPUTED_VALUE"""),1030.0)</f>
        <v>1030</v>
      </c>
      <c r="I105" s="2" t="str">
        <f>IFERROR(__xludf.DUMMYFUNCTION("""COMPUTED_VALUE"""),"000308")</f>
        <v>000308</v>
      </c>
      <c r="J105" s="2" t="str">
        <f>IFERROR(__xludf.DUMMYFUNCTION("""COMPUTED_VALUE"""),"24-25")</f>
        <v>24-25</v>
      </c>
    </row>
    <row r="106">
      <c r="A106" s="2" t="str">
        <f>IFERROR(__xludf.DUMMYFUNCTION("""COMPUTED_VALUE"""),"7019805161")</f>
        <v>7019805161</v>
      </c>
      <c r="B106" s="2" t="str">
        <f>IFERROR(__xludf.DUMMYFUNCTION("""COMPUTED_VALUE"""),"Perry")</f>
        <v>Perry</v>
      </c>
      <c r="C106" s="2" t="str">
        <f>IFERROR(__xludf.DUMMYFUNCTION("""COMPUTED_VALUE"""),"John-Paul")</f>
        <v>John-Paul</v>
      </c>
      <c r="D106" s="4">
        <f>IFERROR(__xludf.DUMMYFUNCTION("""COMPUTED_VALUE"""),8.0)</f>
        <v>8</v>
      </c>
      <c r="E106" s="2" t="str">
        <f>IFERROR(__xludf.DUMMYFUNCTION("""COMPUTED_VALUE"""),"M")</f>
        <v>M</v>
      </c>
      <c r="F106" s="2" t="str">
        <f>IFERROR(__xludf.DUMMYFUNCTION("""COMPUTED_VALUE"""),"No, not Hispanic or Latino")</f>
        <v>No, not Hispanic or Latino</v>
      </c>
      <c r="G106" s="2" t="str">
        <f>IFERROR(__xludf.DUMMYFUNCTION("""COMPUTED_VALUE"""),"White")</f>
        <v>White</v>
      </c>
      <c r="H106" s="4">
        <f>IFERROR(__xludf.DUMMYFUNCTION("""COMPUTED_VALUE"""),1031.0)</f>
        <v>1031</v>
      </c>
      <c r="I106" s="2" t="str">
        <f>IFERROR(__xludf.DUMMYFUNCTION("""COMPUTED_VALUE"""),"000308")</f>
        <v>000308</v>
      </c>
      <c r="J106" s="2" t="str">
        <f>IFERROR(__xludf.DUMMYFUNCTION("""COMPUTED_VALUE"""),"24-25")</f>
        <v>24-25</v>
      </c>
    </row>
    <row r="107">
      <c r="A107" s="2" t="str">
        <f>IFERROR(__xludf.DUMMYFUNCTION("""COMPUTED_VALUE"""),"4186165138")</f>
        <v>4186165138</v>
      </c>
      <c r="B107" s="2" t="str">
        <f>IFERROR(__xludf.DUMMYFUNCTION("""COMPUTED_VALUE"""),"Probst")</f>
        <v>Probst</v>
      </c>
      <c r="C107" s="2" t="str">
        <f>IFERROR(__xludf.DUMMYFUNCTION("""COMPUTED_VALUE"""),"Kai")</f>
        <v>Kai</v>
      </c>
      <c r="D107" s="4">
        <f>IFERROR(__xludf.DUMMYFUNCTION("""COMPUTED_VALUE"""),8.0)</f>
        <v>8</v>
      </c>
      <c r="E107" s="2" t="str">
        <f>IFERROR(__xludf.DUMMYFUNCTION("""COMPUTED_VALUE"""),"M")</f>
        <v>M</v>
      </c>
      <c r="F107" s="2" t="str">
        <f>IFERROR(__xludf.DUMMYFUNCTION("""COMPUTED_VALUE"""),"No, not Hispanic or Latino")</f>
        <v>No, not Hispanic or Latino</v>
      </c>
      <c r="G107" s="2" t="str">
        <f>IFERROR(__xludf.DUMMYFUNCTION("""COMPUTED_VALUE"""),"White")</f>
        <v>White</v>
      </c>
      <c r="H107" s="4">
        <f>IFERROR(__xludf.DUMMYFUNCTION("""COMPUTED_VALUE"""),1031.0)</f>
        <v>1031</v>
      </c>
      <c r="I107" s="2" t="str">
        <f>IFERROR(__xludf.DUMMYFUNCTION("""COMPUTED_VALUE"""),"000308")</f>
        <v>000308</v>
      </c>
      <c r="J107" s="2" t="str">
        <f>IFERROR(__xludf.DUMMYFUNCTION("""COMPUTED_VALUE"""),"24-25")</f>
        <v>24-25</v>
      </c>
    </row>
    <row r="108">
      <c r="A108" s="2" t="str">
        <f>IFERROR(__xludf.DUMMYFUNCTION("""COMPUTED_VALUE"""),"3395784690")</f>
        <v>3395784690</v>
      </c>
      <c r="B108" s="2" t="str">
        <f>IFERROR(__xludf.DUMMYFUNCTION("""COMPUTED_VALUE"""),"Rambo")</f>
        <v>Rambo</v>
      </c>
      <c r="C108" s="2" t="str">
        <f>IFERROR(__xludf.DUMMYFUNCTION("""COMPUTED_VALUE"""),"Forest")</f>
        <v>Forest</v>
      </c>
      <c r="D108" s="4">
        <f>IFERROR(__xludf.DUMMYFUNCTION("""COMPUTED_VALUE"""),8.0)</f>
        <v>8</v>
      </c>
      <c r="E108" s="2" t="str">
        <f>IFERROR(__xludf.DUMMYFUNCTION("""COMPUTED_VALUE"""),"M")</f>
        <v>M</v>
      </c>
      <c r="F108" s="2" t="str">
        <f>IFERROR(__xludf.DUMMYFUNCTION("""COMPUTED_VALUE"""),"No, not Hispanic or Latino")</f>
        <v>No, not Hispanic or Latino</v>
      </c>
      <c r="G108" s="2" t="str">
        <f>IFERROR(__xludf.DUMMYFUNCTION("""COMPUTED_VALUE"""),"White")</f>
        <v>White</v>
      </c>
      <c r="H108" s="4">
        <f>IFERROR(__xludf.DUMMYFUNCTION("""COMPUTED_VALUE"""),1030.0)</f>
        <v>1030</v>
      </c>
      <c r="I108" s="2" t="str">
        <f>IFERROR(__xludf.DUMMYFUNCTION("""COMPUTED_VALUE"""),"000308")</f>
        <v>000308</v>
      </c>
      <c r="J108" s="2" t="str">
        <f>IFERROR(__xludf.DUMMYFUNCTION("""COMPUTED_VALUE"""),"24-25")</f>
        <v>24-25</v>
      </c>
    </row>
    <row r="109">
      <c r="A109" s="2" t="str">
        <f>IFERROR(__xludf.DUMMYFUNCTION("""COMPUTED_VALUE"""),"8664907746")</f>
        <v>8664907746</v>
      </c>
      <c r="B109" s="2" t="str">
        <f>IFERROR(__xludf.DUMMYFUNCTION("""COMPUTED_VALUE"""),"Rice")</f>
        <v>Rice</v>
      </c>
      <c r="C109" s="2" t="str">
        <f>IFERROR(__xludf.DUMMYFUNCTION("""COMPUTED_VALUE"""),"Zachary")</f>
        <v>Zachary</v>
      </c>
      <c r="D109" s="4">
        <f>IFERROR(__xludf.DUMMYFUNCTION("""COMPUTED_VALUE"""),8.0)</f>
        <v>8</v>
      </c>
      <c r="E109" s="2" t="str">
        <f>IFERROR(__xludf.DUMMYFUNCTION("""COMPUTED_VALUE"""),"M")</f>
        <v>M</v>
      </c>
      <c r="F109" s="2" t="str">
        <f>IFERROR(__xludf.DUMMYFUNCTION("""COMPUTED_VALUE"""),"No, not Hispanic or Latino")</f>
        <v>No, not Hispanic or Latino</v>
      </c>
      <c r="G109" s="2" t="str">
        <f>IFERROR(__xludf.DUMMYFUNCTION("""COMPUTED_VALUE"""),"White")</f>
        <v>White</v>
      </c>
      <c r="H109" s="4">
        <f>IFERROR(__xludf.DUMMYFUNCTION("""COMPUTED_VALUE"""),1031.0)</f>
        <v>1031</v>
      </c>
      <c r="I109" s="2" t="str">
        <f>IFERROR(__xludf.DUMMYFUNCTION("""COMPUTED_VALUE"""),"000308")</f>
        <v>000308</v>
      </c>
      <c r="J109" s="2" t="str">
        <f>IFERROR(__xludf.DUMMYFUNCTION("""COMPUTED_VALUE"""),"24-25")</f>
        <v>24-25</v>
      </c>
    </row>
    <row r="110">
      <c r="A110" s="2" t="str">
        <f>IFERROR(__xludf.DUMMYFUNCTION("""COMPUTED_VALUE"""),"7138200690")</f>
        <v>7138200690</v>
      </c>
      <c r="B110" s="2" t="str">
        <f>IFERROR(__xludf.DUMMYFUNCTION("""COMPUTED_VALUE"""),"Roder")</f>
        <v>Roder</v>
      </c>
      <c r="C110" s="2" t="str">
        <f>IFERROR(__xludf.DUMMYFUNCTION("""COMPUTED_VALUE"""),"Kieran")</f>
        <v>Kieran</v>
      </c>
      <c r="D110" s="4">
        <f>IFERROR(__xludf.DUMMYFUNCTION("""COMPUTED_VALUE"""),8.0)</f>
        <v>8</v>
      </c>
      <c r="E110" s="2" t="str">
        <f>IFERROR(__xludf.DUMMYFUNCTION("""COMPUTED_VALUE"""),"M")</f>
        <v>M</v>
      </c>
      <c r="F110" s="2" t="str">
        <f>IFERROR(__xludf.DUMMYFUNCTION("""COMPUTED_VALUE"""),"No, not Hispanic or Latino")</f>
        <v>No, not Hispanic or Latino</v>
      </c>
      <c r="G110" s="2" t="str">
        <f>IFERROR(__xludf.DUMMYFUNCTION("""COMPUTED_VALUE"""),"White")</f>
        <v>White</v>
      </c>
      <c r="H110" s="4">
        <f>IFERROR(__xludf.DUMMYFUNCTION("""COMPUTED_VALUE"""),1030.0)</f>
        <v>1030</v>
      </c>
      <c r="I110" s="2" t="str">
        <f>IFERROR(__xludf.DUMMYFUNCTION("""COMPUTED_VALUE"""),"000308")</f>
        <v>000308</v>
      </c>
      <c r="J110" s="2" t="str">
        <f>IFERROR(__xludf.DUMMYFUNCTION("""COMPUTED_VALUE"""),"24-25")</f>
        <v>24-25</v>
      </c>
    </row>
    <row r="111">
      <c r="A111" s="2" t="str">
        <f>IFERROR(__xludf.DUMMYFUNCTION("""COMPUTED_VALUE"""),"4623564284")</f>
        <v>4623564284</v>
      </c>
      <c r="B111" s="2" t="str">
        <f>IFERROR(__xludf.DUMMYFUNCTION("""COMPUTED_VALUE"""),"Russell")</f>
        <v>Russell</v>
      </c>
      <c r="C111" s="2" t="str">
        <f>IFERROR(__xludf.DUMMYFUNCTION("""COMPUTED_VALUE"""),"Logan")</f>
        <v>Logan</v>
      </c>
      <c r="D111" s="4">
        <f>IFERROR(__xludf.DUMMYFUNCTION("""COMPUTED_VALUE"""),8.0)</f>
        <v>8</v>
      </c>
      <c r="E111" s="2" t="str">
        <f>IFERROR(__xludf.DUMMYFUNCTION("""COMPUTED_VALUE"""),"M")</f>
        <v>M</v>
      </c>
      <c r="F111" s="2" t="str">
        <f>IFERROR(__xludf.DUMMYFUNCTION("""COMPUTED_VALUE"""),"No, not Hispanic or Latino")</f>
        <v>No, not Hispanic or Latino</v>
      </c>
      <c r="G111" s="2" t="str">
        <f>IFERROR(__xludf.DUMMYFUNCTION("""COMPUTED_VALUE"""),"White")</f>
        <v>White</v>
      </c>
      <c r="H111" s="4">
        <f>IFERROR(__xludf.DUMMYFUNCTION("""COMPUTED_VALUE"""),1030.0)</f>
        <v>1030</v>
      </c>
      <c r="I111" s="2" t="str">
        <f>IFERROR(__xludf.DUMMYFUNCTION("""COMPUTED_VALUE"""),"000308")</f>
        <v>000308</v>
      </c>
      <c r="J111" s="2" t="str">
        <f>IFERROR(__xludf.DUMMYFUNCTION("""COMPUTED_VALUE"""),"24-25")</f>
        <v>24-25</v>
      </c>
    </row>
    <row r="112">
      <c r="A112" s="2" t="str">
        <f>IFERROR(__xludf.DUMMYFUNCTION("""COMPUTED_VALUE"""),"2130919661")</f>
        <v>2130919661</v>
      </c>
      <c r="B112" s="2" t="str">
        <f>IFERROR(__xludf.DUMMYFUNCTION("""COMPUTED_VALUE"""),"Sabino Arana")</f>
        <v>Sabino Arana</v>
      </c>
      <c r="C112" s="2" t="str">
        <f>IFERROR(__xludf.DUMMYFUNCTION("""COMPUTED_VALUE"""),"Alexander")</f>
        <v>Alexander</v>
      </c>
      <c r="D112" s="4">
        <f>IFERROR(__xludf.DUMMYFUNCTION("""COMPUTED_VALUE"""),8.0)</f>
        <v>8</v>
      </c>
      <c r="E112" s="2" t="str">
        <f>IFERROR(__xludf.DUMMYFUNCTION("""COMPUTED_VALUE"""),"M")</f>
        <v>M</v>
      </c>
      <c r="F112" s="2" t="str">
        <f>IFERROR(__xludf.DUMMYFUNCTION("""COMPUTED_VALUE"""),"Yes, Hispanic or Latino")</f>
        <v>Yes, Hispanic or Latino</v>
      </c>
      <c r="G112" s="2" t="str">
        <f>IFERROR(__xludf.DUMMYFUNCTION("""COMPUTED_VALUE"""),"Laotian")</f>
        <v>Laotian</v>
      </c>
      <c r="H112" s="4">
        <f>IFERROR(__xludf.DUMMYFUNCTION("""COMPUTED_VALUE"""),1030.0)</f>
        <v>1030</v>
      </c>
      <c r="I112" s="2" t="str">
        <f>IFERROR(__xludf.DUMMYFUNCTION("""COMPUTED_VALUE"""),"000308")</f>
        <v>000308</v>
      </c>
      <c r="J112" s="2" t="str">
        <f>IFERROR(__xludf.DUMMYFUNCTION("""COMPUTED_VALUE"""),"24-25")</f>
        <v>24-25</v>
      </c>
    </row>
    <row r="113">
      <c r="A113" s="2" t="str">
        <f>IFERROR(__xludf.DUMMYFUNCTION("""COMPUTED_VALUE"""),"1481757658")</f>
        <v>1481757658</v>
      </c>
      <c r="B113" s="2" t="str">
        <f>IFERROR(__xludf.DUMMYFUNCTION("""COMPUTED_VALUE"""),"Salvado")</f>
        <v>Salvado</v>
      </c>
      <c r="C113" s="2" t="str">
        <f>IFERROR(__xludf.DUMMYFUNCTION("""COMPUTED_VALUE"""),"Miro")</f>
        <v>Miro</v>
      </c>
      <c r="D113" s="4">
        <f>IFERROR(__xludf.DUMMYFUNCTION("""COMPUTED_VALUE"""),8.0)</f>
        <v>8</v>
      </c>
      <c r="E113" s="2" t="str">
        <f>IFERROR(__xludf.DUMMYFUNCTION("""COMPUTED_VALUE"""),"M")</f>
        <v>M</v>
      </c>
      <c r="F113" s="2" t="str">
        <f>IFERROR(__xludf.DUMMYFUNCTION("""COMPUTED_VALUE"""),"No, not Hispanic or Latino")</f>
        <v>No, not Hispanic or Latino</v>
      </c>
      <c r="G113" s="2" t="str">
        <f>IFERROR(__xludf.DUMMYFUNCTION("""COMPUTED_VALUE"""),"White")</f>
        <v>White</v>
      </c>
      <c r="H113" s="4">
        <f>IFERROR(__xludf.DUMMYFUNCTION("""COMPUTED_VALUE"""),1031.0)</f>
        <v>1031</v>
      </c>
      <c r="I113" s="2" t="str">
        <f>IFERROR(__xludf.DUMMYFUNCTION("""COMPUTED_VALUE"""),"000308")</f>
        <v>000308</v>
      </c>
      <c r="J113" s="2" t="str">
        <f>IFERROR(__xludf.DUMMYFUNCTION("""COMPUTED_VALUE"""),"24-25")</f>
        <v>24-25</v>
      </c>
    </row>
    <row r="114">
      <c r="A114" s="2" t="str">
        <f>IFERROR(__xludf.DUMMYFUNCTION("""COMPUTED_VALUE"""),"7377862803")</f>
        <v>7377862803</v>
      </c>
      <c r="B114" s="2" t="str">
        <f>IFERROR(__xludf.DUMMYFUNCTION("""COMPUTED_VALUE"""),"Singh")</f>
        <v>Singh</v>
      </c>
      <c r="C114" s="2" t="str">
        <f>IFERROR(__xludf.DUMMYFUNCTION("""COMPUTED_VALUE"""),"Aryaveer")</f>
        <v>Aryaveer</v>
      </c>
      <c r="D114" s="4">
        <f>IFERROR(__xludf.DUMMYFUNCTION("""COMPUTED_VALUE"""),8.0)</f>
        <v>8</v>
      </c>
      <c r="E114" s="2" t="str">
        <f>IFERROR(__xludf.DUMMYFUNCTION("""COMPUTED_VALUE"""),"M")</f>
        <v>M</v>
      </c>
      <c r="F114" s="2" t="str">
        <f>IFERROR(__xludf.DUMMYFUNCTION("""COMPUTED_VALUE"""),"No, not Hispanic or Latino")</f>
        <v>No, not Hispanic or Latino</v>
      </c>
      <c r="G114" s="2" t="str">
        <f>IFERROR(__xludf.DUMMYFUNCTION("""COMPUTED_VALUE"""),"Asian Indian")</f>
        <v>Asian Indian</v>
      </c>
      <c r="H114" s="4">
        <f>IFERROR(__xludf.DUMMYFUNCTION("""COMPUTED_VALUE"""),1030.0)</f>
        <v>1030</v>
      </c>
      <c r="I114" s="2" t="str">
        <f>IFERROR(__xludf.DUMMYFUNCTION("""COMPUTED_VALUE"""),"000308")</f>
        <v>000308</v>
      </c>
      <c r="J114" s="2" t="str">
        <f>IFERROR(__xludf.DUMMYFUNCTION("""COMPUTED_VALUE"""),"24-25")</f>
        <v>24-25</v>
      </c>
    </row>
    <row r="115">
      <c r="A115" s="2" t="str">
        <f>IFERROR(__xludf.DUMMYFUNCTION("""COMPUTED_VALUE"""),"5685086327")</f>
        <v>5685086327</v>
      </c>
      <c r="B115" s="2" t="str">
        <f>IFERROR(__xludf.DUMMYFUNCTION("""COMPUTED_VALUE"""),"Stein")</f>
        <v>Stein</v>
      </c>
      <c r="C115" s="2" t="str">
        <f>IFERROR(__xludf.DUMMYFUNCTION("""COMPUTED_VALUE"""),"Ari")</f>
        <v>Ari</v>
      </c>
      <c r="D115" s="4">
        <f>IFERROR(__xludf.DUMMYFUNCTION("""COMPUTED_VALUE"""),8.0)</f>
        <v>8</v>
      </c>
      <c r="E115" s="2" t="str">
        <f>IFERROR(__xludf.DUMMYFUNCTION("""COMPUTED_VALUE"""),"M")</f>
        <v>M</v>
      </c>
      <c r="F115" s="2" t="str">
        <f>IFERROR(__xludf.DUMMYFUNCTION("""COMPUTED_VALUE"""),"No, not Hispanic or Latino")</f>
        <v>No, not Hispanic or Latino</v>
      </c>
      <c r="G115" s="2" t="str">
        <f>IFERROR(__xludf.DUMMYFUNCTION("""COMPUTED_VALUE"""),"White")</f>
        <v>White</v>
      </c>
      <c r="H115" s="4">
        <f>IFERROR(__xludf.DUMMYFUNCTION("""COMPUTED_VALUE"""),1031.0)</f>
        <v>1031</v>
      </c>
      <c r="I115" s="2" t="str">
        <f>IFERROR(__xludf.DUMMYFUNCTION("""COMPUTED_VALUE"""),"000308")</f>
        <v>000308</v>
      </c>
      <c r="J115" s="2" t="str">
        <f>IFERROR(__xludf.DUMMYFUNCTION("""COMPUTED_VALUE"""),"24-25")</f>
        <v>24-25</v>
      </c>
    </row>
    <row r="116">
      <c r="A116" s="2" t="str">
        <f>IFERROR(__xludf.DUMMYFUNCTION("""COMPUTED_VALUE"""),"4347161403")</f>
        <v>4347161403</v>
      </c>
      <c r="B116" s="2" t="str">
        <f>IFERROR(__xludf.DUMMYFUNCTION("""COMPUTED_VALUE"""),"Stern")</f>
        <v>Stern</v>
      </c>
      <c r="C116" s="2" t="str">
        <f>IFERROR(__xludf.DUMMYFUNCTION("""COMPUTED_VALUE"""),"Nathan")</f>
        <v>Nathan</v>
      </c>
      <c r="D116" s="4">
        <f>IFERROR(__xludf.DUMMYFUNCTION("""COMPUTED_VALUE"""),8.0)</f>
        <v>8</v>
      </c>
      <c r="E116" s="2" t="str">
        <f>IFERROR(__xludf.DUMMYFUNCTION("""COMPUTED_VALUE"""),"M")</f>
        <v>M</v>
      </c>
      <c r="F116" s="2" t="str">
        <f>IFERROR(__xludf.DUMMYFUNCTION("""COMPUTED_VALUE"""),"No, not Hispanic or Latino")</f>
        <v>No, not Hispanic or Latino</v>
      </c>
      <c r="G116" s="2" t="str">
        <f>IFERROR(__xludf.DUMMYFUNCTION("""COMPUTED_VALUE"""),"White")</f>
        <v>White</v>
      </c>
      <c r="H116" s="4">
        <f>IFERROR(__xludf.DUMMYFUNCTION("""COMPUTED_VALUE"""),1031.0)</f>
        <v>1031</v>
      </c>
      <c r="I116" s="2" t="str">
        <f>IFERROR(__xludf.DUMMYFUNCTION("""COMPUTED_VALUE"""),"000308")</f>
        <v>000308</v>
      </c>
      <c r="J116" s="2" t="str">
        <f>IFERROR(__xludf.DUMMYFUNCTION("""COMPUTED_VALUE"""),"24-25")</f>
        <v>24-25</v>
      </c>
    </row>
    <row r="117">
      <c r="A117" s="2" t="str">
        <f>IFERROR(__xludf.DUMMYFUNCTION("""COMPUTED_VALUE"""),"9273577083")</f>
        <v>9273577083</v>
      </c>
      <c r="B117" s="2" t="str">
        <f>IFERROR(__xludf.DUMMYFUNCTION("""COMPUTED_VALUE"""),"Voloshin")</f>
        <v>Voloshin</v>
      </c>
      <c r="C117" s="2" t="str">
        <f>IFERROR(__xludf.DUMMYFUNCTION("""COMPUTED_VALUE"""),"Aaron")</f>
        <v>Aaron</v>
      </c>
      <c r="D117" s="4">
        <f>IFERROR(__xludf.DUMMYFUNCTION("""COMPUTED_VALUE"""),8.0)</f>
        <v>8</v>
      </c>
      <c r="E117" s="2" t="str">
        <f>IFERROR(__xludf.DUMMYFUNCTION("""COMPUTED_VALUE"""),"M")</f>
        <v>M</v>
      </c>
      <c r="F117" s="2" t="str">
        <f>IFERROR(__xludf.DUMMYFUNCTION("""COMPUTED_VALUE"""),"No, not Hispanic or Latino")</f>
        <v>No, not Hispanic or Latino</v>
      </c>
      <c r="G117" s="2" t="str">
        <f>IFERROR(__xludf.DUMMYFUNCTION("""COMPUTED_VALUE"""),"White")</f>
        <v>White</v>
      </c>
      <c r="H117" s="4">
        <f>IFERROR(__xludf.DUMMYFUNCTION("""COMPUTED_VALUE"""),1030.0)</f>
        <v>1030</v>
      </c>
      <c r="I117" s="2" t="str">
        <f>IFERROR(__xludf.DUMMYFUNCTION("""COMPUTED_VALUE"""),"000308")</f>
        <v>000308</v>
      </c>
      <c r="J117" s="2" t="str">
        <f>IFERROR(__xludf.DUMMYFUNCTION("""COMPUTED_VALUE"""),"24-25")</f>
        <v>24-25</v>
      </c>
    </row>
    <row r="118">
      <c r="A118" s="2" t="str">
        <f>IFERROR(__xludf.DUMMYFUNCTION("""COMPUTED_VALUE"""),"8995124237")</f>
        <v>8995124237</v>
      </c>
      <c r="B118" s="2" t="str">
        <f>IFERROR(__xludf.DUMMYFUNCTION("""COMPUTED_VALUE"""),"Vree")</f>
        <v>Vree</v>
      </c>
      <c r="C118" s="2" t="str">
        <f>IFERROR(__xludf.DUMMYFUNCTION("""COMPUTED_VALUE"""),"William")</f>
        <v>William</v>
      </c>
      <c r="D118" s="4">
        <f>IFERROR(__xludf.DUMMYFUNCTION("""COMPUTED_VALUE"""),8.0)</f>
        <v>8</v>
      </c>
      <c r="E118" s="2" t="str">
        <f>IFERROR(__xludf.DUMMYFUNCTION("""COMPUTED_VALUE"""),"M")</f>
        <v>M</v>
      </c>
      <c r="F118" s="2" t="str">
        <f>IFERROR(__xludf.DUMMYFUNCTION("""COMPUTED_VALUE"""),"No, not Hispanic or Latino")</f>
        <v>No, not Hispanic or Latino</v>
      </c>
      <c r="G118" s="2" t="str">
        <f>IFERROR(__xludf.DUMMYFUNCTION("""COMPUTED_VALUE"""),"White")</f>
        <v>White</v>
      </c>
      <c r="H118" s="4">
        <f>IFERROR(__xludf.DUMMYFUNCTION("""COMPUTED_VALUE"""),1030.0)</f>
        <v>1030</v>
      </c>
      <c r="I118" s="2" t="str">
        <f>IFERROR(__xludf.DUMMYFUNCTION("""COMPUTED_VALUE"""),"000308")</f>
        <v>000308</v>
      </c>
      <c r="J118" s="2" t="str">
        <f>IFERROR(__xludf.DUMMYFUNCTION("""COMPUTED_VALUE"""),"24-25")</f>
        <v>24-25</v>
      </c>
    </row>
    <row r="119">
      <c r="A119" s="2" t="str">
        <f>IFERROR(__xludf.DUMMYFUNCTION("""COMPUTED_VALUE"""),"5752464502")</f>
        <v>5752464502</v>
      </c>
      <c r="B119" s="2" t="str">
        <f>IFERROR(__xludf.DUMMYFUNCTION("""COMPUTED_VALUE"""),"Weidner")</f>
        <v>Weidner</v>
      </c>
      <c r="C119" s="2" t="str">
        <f>IFERROR(__xludf.DUMMYFUNCTION("""COMPUTED_VALUE"""),"James")</f>
        <v>James</v>
      </c>
      <c r="D119" s="4">
        <f>IFERROR(__xludf.DUMMYFUNCTION("""COMPUTED_VALUE"""),8.0)</f>
        <v>8</v>
      </c>
      <c r="E119" s="2" t="str">
        <f>IFERROR(__xludf.DUMMYFUNCTION("""COMPUTED_VALUE"""),"M")</f>
        <v>M</v>
      </c>
      <c r="F119" s="2" t="str">
        <f>IFERROR(__xludf.DUMMYFUNCTION("""COMPUTED_VALUE"""),"No, not Hispanic or Latino")</f>
        <v>No, not Hispanic or Latino</v>
      </c>
      <c r="G119" s="2" t="str">
        <f>IFERROR(__xludf.DUMMYFUNCTION("""COMPUTED_VALUE"""),"White")</f>
        <v>White</v>
      </c>
      <c r="H119" s="4">
        <f>IFERROR(__xludf.DUMMYFUNCTION("""COMPUTED_VALUE"""),1030.0)</f>
        <v>1030</v>
      </c>
      <c r="I119" s="2" t="str">
        <f>IFERROR(__xludf.DUMMYFUNCTION("""COMPUTED_VALUE"""),"000308")</f>
        <v>000308</v>
      </c>
      <c r="J119" s="2" t="str">
        <f>IFERROR(__xludf.DUMMYFUNCTION("""COMPUTED_VALUE"""),"24-25")</f>
        <v>24-25</v>
      </c>
    </row>
    <row r="120">
      <c r="A120" s="2" t="str">
        <f>IFERROR(__xludf.DUMMYFUNCTION("""COMPUTED_VALUE"""),"3300473531")</f>
        <v>3300473531</v>
      </c>
      <c r="B120" s="2" t="str">
        <f>IFERROR(__xludf.DUMMYFUNCTION("""COMPUTED_VALUE"""),"Winter")</f>
        <v>Winter</v>
      </c>
      <c r="C120" s="2" t="str">
        <f>IFERROR(__xludf.DUMMYFUNCTION("""COMPUTED_VALUE"""),"Ethan")</f>
        <v>Ethan</v>
      </c>
      <c r="D120" s="4">
        <f>IFERROR(__xludf.DUMMYFUNCTION("""COMPUTED_VALUE"""),8.0)</f>
        <v>8</v>
      </c>
      <c r="E120" s="2" t="str">
        <f>IFERROR(__xludf.DUMMYFUNCTION("""COMPUTED_VALUE"""),"M")</f>
        <v>M</v>
      </c>
      <c r="F120" s="2" t="str">
        <f>IFERROR(__xludf.DUMMYFUNCTION("""COMPUTED_VALUE"""),"No, not Hispanic or Latino")</f>
        <v>No, not Hispanic or Latino</v>
      </c>
      <c r="G120" s="2" t="str">
        <f>IFERROR(__xludf.DUMMYFUNCTION("""COMPUTED_VALUE"""),"White")</f>
        <v>White</v>
      </c>
      <c r="H120" s="4">
        <f>IFERROR(__xludf.DUMMYFUNCTION("""COMPUTED_VALUE"""),1031.0)</f>
        <v>1031</v>
      </c>
      <c r="I120" s="2" t="str">
        <f>IFERROR(__xludf.DUMMYFUNCTION("""COMPUTED_VALUE"""),"000308")</f>
        <v>000308</v>
      </c>
      <c r="J120" s="2" t="str">
        <f>IFERROR(__xludf.DUMMYFUNCTION("""COMPUTED_VALUE"""),"24-25")</f>
        <v>24-25</v>
      </c>
    </row>
    <row r="121">
      <c r="A121" s="2" t="str">
        <f>IFERROR(__xludf.DUMMYFUNCTION("""COMPUTED_VALUE"""),"5486438867")</f>
        <v>5486438867</v>
      </c>
      <c r="B121" s="2" t="str">
        <f>IFERROR(__xludf.DUMMYFUNCTION("""COMPUTED_VALUE"""),"Yee")</f>
        <v>Yee</v>
      </c>
      <c r="C121" s="2" t="str">
        <f>IFERROR(__xludf.DUMMYFUNCTION("""COMPUTED_VALUE"""),"Alina")</f>
        <v>Alina</v>
      </c>
      <c r="D121" s="4">
        <f>IFERROR(__xludf.DUMMYFUNCTION("""COMPUTED_VALUE"""),8.0)</f>
        <v>8</v>
      </c>
      <c r="E121" s="2" t="str">
        <f>IFERROR(__xludf.DUMMYFUNCTION("""COMPUTED_VALUE"""),"F")</f>
        <v>F</v>
      </c>
      <c r="F121" s="2" t="str">
        <f>IFERROR(__xludf.DUMMYFUNCTION("""COMPUTED_VALUE"""),"No, not Hispanic or Latino")</f>
        <v>No, not Hispanic or Latino</v>
      </c>
      <c r="G121" s="2" t="str">
        <f>IFERROR(__xludf.DUMMYFUNCTION("""COMPUTED_VALUE"""),"Chinese")</f>
        <v>Chinese</v>
      </c>
      <c r="H121" s="4">
        <f>IFERROR(__xludf.DUMMYFUNCTION("""COMPUTED_VALUE"""),1030.0)</f>
        <v>1030</v>
      </c>
      <c r="I121" s="2" t="str">
        <f>IFERROR(__xludf.DUMMYFUNCTION("""COMPUTED_VALUE"""),"000308")</f>
        <v>000308</v>
      </c>
      <c r="J121" s="2" t="str">
        <f>IFERROR(__xludf.DUMMYFUNCTION("""COMPUTED_VALUE"""),"24-25")</f>
        <v>24-25</v>
      </c>
    </row>
    <row r="122">
      <c r="A122" s="2" t="str">
        <f>IFERROR(__xludf.DUMMYFUNCTION("""COMPUTED_VALUE"""),"3437045076")</f>
        <v>3437045076</v>
      </c>
      <c r="B122" s="2" t="str">
        <f>IFERROR(__xludf.DUMMYFUNCTION("""COMPUTED_VALUE"""),"Alarcon")</f>
        <v>Alarcon</v>
      </c>
      <c r="C122" s="2" t="str">
        <f>IFERROR(__xludf.DUMMYFUNCTION("""COMPUTED_VALUE"""),"Hayden")</f>
        <v>Hayden</v>
      </c>
      <c r="D122" s="4">
        <f>IFERROR(__xludf.DUMMYFUNCTION("""COMPUTED_VALUE"""),8.0)</f>
        <v>8</v>
      </c>
      <c r="E122" s="2" t="str">
        <f>IFERROR(__xludf.DUMMYFUNCTION("""COMPUTED_VALUE"""),"M")</f>
        <v>M</v>
      </c>
      <c r="F122" s="2" t="str">
        <f>IFERROR(__xludf.DUMMYFUNCTION("""COMPUTED_VALUE"""),"Yes, Hispanic or Latino")</f>
        <v>Yes, Hispanic or Latino</v>
      </c>
      <c r="G122" s="2" t="str">
        <f>IFERROR(__xludf.DUMMYFUNCTION("""COMPUTED_VALUE"""),"White")</f>
        <v>White</v>
      </c>
      <c r="H122" s="4">
        <f>IFERROR(__xludf.DUMMYFUNCTION("""COMPUTED_VALUE"""),1053.0)</f>
        <v>1053</v>
      </c>
      <c r="I122" s="2" t="str">
        <f>IFERROR(__xludf.DUMMYFUNCTION("""COMPUTED_VALUE"""),"000308")</f>
        <v>000308</v>
      </c>
      <c r="J122" s="2" t="str">
        <f>IFERROR(__xludf.DUMMYFUNCTION("""COMPUTED_VALUE"""),"25-26")</f>
        <v>25-26</v>
      </c>
    </row>
    <row r="123">
      <c r="A123" s="2" t="str">
        <f>IFERROR(__xludf.DUMMYFUNCTION("""COMPUTED_VALUE"""),"2538995308")</f>
        <v>2538995308</v>
      </c>
      <c r="B123" s="2" t="str">
        <f>IFERROR(__xludf.DUMMYFUNCTION("""COMPUTED_VALUE"""),"Aronson")</f>
        <v>Aronson</v>
      </c>
      <c r="C123" s="2" t="str">
        <f>IFERROR(__xludf.DUMMYFUNCTION("""COMPUTED_VALUE"""),"Evan")</f>
        <v>Evan</v>
      </c>
      <c r="D123" s="4">
        <f>IFERROR(__xludf.DUMMYFUNCTION("""COMPUTED_VALUE"""),8.0)</f>
        <v>8</v>
      </c>
      <c r="E123" s="2" t="str">
        <f>IFERROR(__xludf.DUMMYFUNCTION("""COMPUTED_VALUE"""),"M")</f>
        <v>M</v>
      </c>
      <c r="F123" s="2" t="str">
        <f>IFERROR(__xludf.DUMMYFUNCTION("""COMPUTED_VALUE"""),"No, not Hispanic or Latino")</f>
        <v>No, not Hispanic or Latino</v>
      </c>
      <c r="G123" s="2" t="str">
        <f>IFERROR(__xludf.DUMMYFUNCTION("""COMPUTED_VALUE"""),"White")</f>
        <v>White</v>
      </c>
      <c r="H123" s="4">
        <f>IFERROR(__xludf.DUMMYFUNCTION("""COMPUTED_VALUE"""),1054.0)</f>
        <v>1054</v>
      </c>
      <c r="I123" s="2" t="str">
        <f>IFERROR(__xludf.DUMMYFUNCTION("""COMPUTED_VALUE"""),"000308")</f>
        <v>000308</v>
      </c>
      <c r="J123" s="2" t="str">
        <f>IFERROR(__xludf.DUMMYFUNCTION("""COMPUTED_VALUE"""),"25-26")</f>
        <v>25-26</v>
      </c>
    </row>
    <row r="124">
      <c r="A124" s="2" t="str">
        <f>IFERROR(__xludf.DUMMYFUNCTION("""COMPUTED_VALUE"""),"2720574865")</f>
        <v>2720574865</v>
      </c>
      <c r="B124" s="2" t="str">
        <f>IFERROR(__xludf.DUMMYFUNCTION("""COMPUTED_VALUE"""),"Baker")</f>
        <v>Baker</v>
      </c>
      <c r="C124" s="2" t="str">
        <f>IFERROR(__xludf.DUMMYFUNCTION("""COMPUTED_VALUE"""),"Sean")</f>
        <v>Sean</v>
      </c>
      <c r="D124" s="4">
        <f>IFERROR(__xludf.DUMMYFUNCTION("""COMPUTED_VALUE"""),8.0)</f>
        <v>8</v>
      </c>
      <c r="E124" s="2" t="str">
        <f>IFERROR(__xludf.DUMMYFUNCTION("""COMPUTED_VALUE"""),"M")</f>
        <v>M</v>
      </c>
      <c r="F124" s="2" t="str">
        <f>IFERROR(__xludf.DUMMYFUNCTION("""COMPUTED_VALUE"""),"No, not Hispanic or Latino")</f>
        <v>No, not Hispanic or Latino</v>
      </c>
      <c r="G124" s="2" t="str">
        <f>IFERROR(__xludf.DUMMYFUNCTION("""COMPUTED_VALUE"""),"White")</f>
        <v>White</v>
      </c>
      <c r="H124" s="4">
        <f>IFERROR(__xludf.DUMMYFUNCTION("""COMPUTED_VALUE"""),1054.0)</f>
        <v>1054</v>
      </c>
      <c r="I124" s="2" t="str">
        <f>IFERROR(__xludf.DUMMYFUNCTION("""COMPUTED_VALUE"""),"000308")</f>
        <v>000308</v>
      </c>
      <c r="J124" s="2" t="str">
        <f>IFERROR(__xludf.DUMMYFUNCTION("""COMPUTED_VALUE"""),"25-26")</f>
        <v>25-26</v>
      </c>
    </row>
    <row r="125">
      <c r="A125" s="2" t="str">
        <f>IFERROR(__xludf.DUMMYFUNCTION("""COMPUTED_VALUE"""),"7455499795")</f>
        <v>7455499795</v>
      </c>
      <c r="B125" s="2" t="str">
        <f>IFERROR(__xludf.DUMMYFUNCTION("""COMPUTED_VALUE"""),"Barnes")</f>
        <v>Barnes</v>
      </c>
      <c r="C125" s="2" t="str">
        <f>IFERROR(__xludf.DUMMYFUNCTION("""COMPUTED_VALUE"""),"Andrew")</f>
        <v>Andrew</v>
      </c>
      <c r="D125" s="4">
        <f>IFERROR(__xludf.DUMMYFUNCTION("""COMPUTED_VALUE"""),8.0)</f>
        <v>8</v>
      </c>
      <c r="E125" s="2" t="str">
        <f>IFERROR(__xludf.DUMMYFUNCTION("""COMPUTED_VALUE"""),"M")</f>
        <v>M</v>
      </c>
      <c r="F125" s="2" t="str">
        <f>IFERROR(__xludf.DUMMYFUNCTION("""COMPUTED_VALUE"""),"No, not Hispanic or Latino")</f>
        <v>No, not Hispanic or Latino</v>
      </c>
      <c r="G125" s="2" t="str">
        <f>IFERROR(__xludf.DUMMYFUNCTION("""COMPUTED_VALUE"""),"White")</f>
        <v>White</v>
      </c>
      <c r="H125" s="4">
        <f>IFERROR(__xludf.DUMMYFUNCTION("""COMPUTED_VALUE"""),1053.0)</f>
        <v>1053</v>
      </c>
      <c r="I125" s="2" t="str">
        <f>IFERROR(__xludf.DUMMYFUNCTION("""COMPUTED_VALUE"""),"000308")</f>
        <v>000308</v>
      </c>
      <c r="J125" s="2" t="str">
        <f>IFERROR(__xludf.DUMMYFUNCTION("""COMPUTED_VALUE"""),"25-26")</f>
        <v>25-26</v>
      </c>
    </row>
    <row r="126">
      <c r="A126" s="2" t="str">
        <f>IFERROR(__xludf.DUMMYFUNCTION("""COMPUTED_VALUE"""),"7642552645")</f>
        <v>7642552645</v>
      </c>
      <c r="B126" s="2" t="str">
        <f>IFERROR(__xludf.DUMMYFUNCTION("""COMPUTED_VALUE"""),"Becker")</f>
        <v>Becker</v>
      </c>
      <c r="C126" s="2" t="str">
        <f>IFERROR(__xludf.DUMMYFUNCTION("""COMPUTED_VALUE"""),"Sophia")</f>
        <v>Sophia</v>
      </c>
      <c r="D126" s="4">
        <f>IFERROR(__xludf.DUMMYFUNCTION("""COMPUTED_VALUE"""),8.0)</f>
        <v>8</v>
      </c>
      <c r="E126" s="2" t="str">
        <f>IFERROR(__xludf.DUMMYFUNCTION("""COMPUTED_VALUE"""),"F")</f>
        <v>F</v>
      </c>
      <c r="F126" s="2" t="str">
        <f>IFERROR(__xludf.DUMMYFUNCTION("""COMPUTED_VALUE"""),"No, not Hispanic or Latino")</f>
        <v>No, not Hispanic or Latino</v>
      </c>
      <c r="G126" s="2" t="str">
        <f>IFERROR(__xludf.DUMMYFUNCTION("""COMPUTED_VALUE"""),"White")</f>
        <v>White</v>
      </c>
      <c r="H126" s="4">
        <f>IFERROR(__xludf.DUMMYFUNCTION("""COMPUTED_VALUE"""),1053.0)</f>
        <v>1053</v>
      </c>
      <c r="I126" s="2" t="str">
        <f>IFERROR(__xludf.DUMMYFUNCTION("""COMPUTED_VALUE"""),"000308")</f>
        <v>000308</v>
      </c>
      <c r="J126" s="2" t="str">
        <f>IFERROR(__xludf.DUMMYFUNCTION("""COMPUTED_VALUE"""),"25-26")</f>
        <v>25-26</v>
      </c>
    </row>
    <row r="127">
      <c r="A127" s="2" t="str">
        <f>IFERROR(__xludf.DUMMYFUNCTION("""COMPUTED_VALUE"""),"5463992417")</f>
        <v>5463992417</v>
      </c>
      <c r="B127" s="2" t="str">
        <f>IFERROR(__xludf.DUMMYFUNCTION("""COMPUTED_VALUE"""),"Benin")</f>
        <v>Benin</v>
      </c>
      <c r="C127" s="2" t="str">
        <f>IFERROR(__xludf.DUMMYFUNCTION("""COMPUTED_VALUE"""),"Sidney")</f>
        <v>Sidney</v>
      </c>
      <c r="D127" s="4">
        <f>IFERROR(__xludf.DUMMYFUNCTION("""COMPUTED_VALUE"""),8.0)</f>
        <v>8</v>
      </c>
      <c r="E127" s="2" t="str">
        <f>IFERROR(__xludf.DUMMYFUNCTION("""COMPUTED_VALUE"""),"M")</f>
        <v>M</v>
      </c>
      <c r="F127" s="2" t="str">
        <f>IFERROR(__xludf.DUMMYFUNCTION("""COMPUTED_VALUE"""),"No, not Hispanic or Latino")</f>
        <v>No, not Hispanic or Latino</v>
      </c>
      <c r="G127" s="2" t="str">
        <f>IFERROR(__xludf.DUMMYFUNCTION("""COMPUTED_VALUE"""),"White")</f>
        <v>White</v>
      </c>
      <c r="H127" s="4">
        <f>IFERROR(__xludf.DUMMYFUNCTION("""COMPUTED_VALUE"""),1054.0)</f>
        <v>1054</v>
      </c>
      <c r="I127" s="2" t="str">
        <f>IFERROR(__xludf.DUMMYFUNCTION("""COMPUTED_VALUE"""),"000308")</f>
        <v>000308</v>
      </c>
      <c r="J127" s="2" t="str">
        <f>IFERROR(__xludf.DUMMYFUNCTION("""COMPUTED_VALUE"""),"25-26")</f>
        <v>25-26</v>
      </c>
    </row>
    <row r="128">
      <c r="A128" s="2" t="str">
        <f>IFERROR(__xludf.DUMMYFUNCTION("""COMPUTED_VALUE"""),"3682194838")</f>
        <v>3682194838</v>
      </c>
      <c r="B128" s="2" t="str">
        <f>IFERROR(__xludf.DUMMYFUNCTION("""COMPUTED_VALUE"""),"Buell")</f>
        <v>Buell</v>
      </c>
      <c r="C128" s="2" t="str">
        <f>IFERROR(__xludf.DUMMYFUNCTION("""COMPUTED_VALUE"""),"Amelia")</f>
        <v>Amelia</v>
      </c>
      <c r="D128" s="4">
        <f>IFERROR(__xludf.DUMMYFUNCTION("""COMPUTED_VALUE"""),8.0)</f>
        <v>8</v>
      </c>
      <c r="E128" s="2" t="str">
        <f>IFERROR(__xludf.DUMMYFUNCTION("""COMPUTED_VALUE"""),"F")</f>
        <v>F</v>
      </c>
      <c r="F128" s="2" t="str">
        <f>IFERROR(__xludf.DUMMYFUNCTION("""COMPUTED_VALUE"""),"No, not Hispanic or Latino")</f>
        <v>No, not Hispanic or Latino</v>
      </c>
      <c r="G128" s="2" t="str">
        <f>IFERROR(__xludf.DUMMYFUNCTION("""COMPUTED_VALUE"""),"White")</f>
        <v>White</v>
      </c>
      <c r="H128" s="4">
        <f>IFERROR(__xludf.DUMMYFUNCTION("""COMPUTED_VALUE"""),1054.0)</f>
        <v>1054</v>
      </c>
      <c r="I128" s="2" t="str">
        <f>IFERROR(__xludf.DUMMYFUNCTION("""COMPUTED_VALUE"""),"000308")</f>
        <v>000308</v>
      </c>
      <c r="J128" s="2" t="str">
        <f>IFERROR(__xludf.DUMMYFUNCTION("""COMPUTED_VALUE"""),"25-26")</f>
        <v>25-26</v>
      </c>
    </row>
    <row r="129">
      <c r="A129" s="2" t="str">
        <f>IFERROR(__xludf.DUMMYFUNCTION("""COMPUTED_VALUE"""),"2100259675")</f>
        <v>2100259675</v>
      </c>
      <c r="B129" s="2" t="str">
        <f>IFERROR(__xludf.DUMMYFUNCTION("""COMPUTED_VALUE"""),"Burgon")</f>
        <v>Burgon</v>
      </c>
      <c r="C129" s="2" t="str">
        <f>IFERROR(__xludf.DUMMYFUNCTION("""COMPUTED_VALUE"""),"Cate")</f>
        <v>Cate</v>
      </c>
      <c r="D129" s="4">
        <f>IFERROR(__xludf.DUMMYFUNCTION("""COMPUTED_VALUE"""),8.0)</f>
        <v>8</v>
      </c>
      <c r="E129" s="2" t="str">
        <f>IFERROR(__xludf.DUMMYFUNCTION("""COMPUTED_VALUE"""),"F")</f>
        <v>F</v>
      </c>
      <c r="F129" s="2" t="str">
        <f>IFERROR(__xludf.DUMMYFUNCTION("""COMPUTED_VALUE"""),"No, not Hispanic or Latino")</f>
        <v>No, not Hispanic or Latino</v>
      </c>
      <c r="G129" s="2" t="str">
        <f>IFERROR(__xludf.DUMMYFUNCTION("""COMPUTED_VALUE"""),"White")</f>
        <v>White</v>
      </c>
      <c r="H129" s="4">
        <f>IFERROR(__xludf.DUMMYFUNCTION("""COMPUTED_VALUE"""),1054.0)</f>
        <v>1054</v>
      </c>
      <c r="I129" s="2" t="str">
        <f>IFERROR(__xludf.DUMMYFUNCTION("""COMPUTED_VALUE"""),"000308")</f>
        <v>000308</v>
      </c>
      <c r="J129" s="2" t="str">
        <f>IFERROR(__xludf.DUMMYFUNCTION("""COMPUTED_VALUE"""),"25-26")</f>
        <v>25-26</v>
      </c>
    </row>
    <row r="130">
      <c r="A130" s="2" t="str">
        <f>IFERROR(__xludf.DUMMYFUNCTION("""COMPUTED_VALUE"""),"3290132362")</f>
        <v>3290132362</v>
      </c>
      <c r="B130" s="2" t="str">
        <f>IFERROR(__xludf.DUMMYFUNCTION("""COMPUTED_VALUE"""),"Calderon Alvarez")</f>
        <v>Calderon Alvarez</v>
      </c>
      <c r="C130" s="2" t="str">
        <f>IFERROR(__xludf.DUMMYFUNCTION("""COMPUTED_VALUE"""),"Braily")</f>
        <v>Braily</v>
      </c>
      <c r="D130" s="4">
        <f>IFERROR(__xludf.DUMMYFUNCTION("""COMPUTED_VALUE"""),8.0)</f>
        <v>8</v>
      </c>
      <c r="E130" s="2" t="str">
        <f>IFERROR(__xludf.DUMMYFUNCTION("""COMPUTED_VALUE"""),"M")</f>
        <v>M</v>
      </c>
      <c r="F130" s="2" t="str">
        <f>IFERROR(__xludf.DUMMYFUNCTION("""COMPUTED_VALUE"""),"Yes, Hispanic or Latino")</f>
        <v>Yes, Hispanic or Latino</v>
      </c>
      <c r="G130" s="2" t="str">
        <f>IFERROR(__xludf.DUMMYFUNCTION("""COMPUTED_VALUE"""),"No Answer Provided")</f>
        <v>No Answer Provided</v>
      </c>
      <c r="H130" s="4">
        <f>IFERROR(__xludf.DUMMYFUNCTION("""COMPUTED_VALUE"""),1054.0)</f>
        <v>1054</v>
      </c>
      <c r="I130" s="2" t="str">
        <f>IFERROR(__xludf.DUMMYFUNCTION("""COMPUTED_VALUE"""),"000308")</f>
        <v>000308</v>
      </c>
      <c r="J130" s="2" t="str">
        <f>IFERROR(__xludf.DUMMYFUNCTION("""COMPUTED_VALUE"""),"25-26")</f>
        <v>25-26</v>
      </c>
    </row>
    <row r="131">
      <c r="A131" s="2" t="str">
        <f>IFERROR(__xludf.DUMMYFUNCTION("""COMPUTED_VALUE"""),"3793278352")</f>
        <v>3793278352</v>
      </c>
      <c r="B131" s="2" t="str">
        <f>IFERROR(__xludf.DUMMYFUNCTION("""COMPUTED_VALUE"""),"Carroll")</f>
        <v>Carroll</v>
      </c>
      <c r="C131" s="2" t="str">
        <f>IFERROR(__xludf.DUMMYFUNCTION("""COMPUTED_VALUE"""),"Remy")</f>
        <v>Remy</v>
      </c>
      <c r="D131" s="4">
        <f>IFERROR(__xludf.DUMMYFUNCTION("""COMPUTED_VALUE"""),8.0)</f>
        <v>8</v>
      </c>
      <c r="E131" s="2" t="str">
        <f>IFERROR(__xludf.DUMMYFUNCTION("""COMPUTED_VALUE"""),"M")</f>
        <v>M</v>
      </c>
      <c r="F131" s="2" t="str">
        <f>IFERROR(__xludf.DUMMYFUNCTION("""COMPUTED_VALUE"""),"No, not Hispanic or Latino")</f>
        <v>No, not Hispanic or Latino</v>
      </c>
      <c r="G131" s="2" t="str">
        <f>IFERROR(__xludf.DUMMYFUNCTION("""COMPUTED_VALUE"""),"White")</f>
        <v>White</v>
      </c>
      <c r="H131" s="4">
        <f>IFERROR(__xludf.DUMMYFUNCTION("""COMPUTED_VALUE"""),1054.0)</f>
        <v>1054</v>
      </c>
      <c r="I131" s="2" t="str">
        <f>IFERROR(__xludf.DUMMYFUNCTION("""COMPUTED_VALUE"""),"000308")</f>
        <v>000308</v>
      </c>
      <c r="J131" s="2" t="str">
        <f>IFERROR(__xludf.DUMMYFUNCTION("""COMPUTED_VALUE"""),"25-26")</f>
        <v>25-26</v>
      </c>
    </row>
    <row r="132">
      <c r="A132" s="2" t="str">
        <f>IFERROR(__xludf.DUMMYFUNCTION("""COMPUTED_VALUE"""),"9137215427")</f>
        <v>9137215427</v>
      </c>
      <c r="B132" s="2" t="str">
        <f>IFERROR(__xludf.DUMMYFUNCTION("""COMPUTED_VALUE"""),"Dayton")</f>
        <v>Dayton</v>
      </c>
      <c r="C132" s="2" t="str">
        <f>IFERROR(__xludf.DUMMYFUNCTION("""COMPUTED_VALUE"""),"Anderson")</f>
        <v>Anderson</v>
      </c>
      <c r="D132" s="4">
        <f>IFERROR(__xludf.DUMMYFUNCTION("""COMPUTED_VALUE"""),8.0)</f>
        <v>8</v>
      </c>
      <c r="E132" s="2" t="str">
        <f>IFERROR(__xludf.DUMMYFUNCTION("""COMPUTED_VALUE"""),"M")</f>
        <v>M</v>
      </c>
      <c r="F132" s="2" t="str">
        <f>IFERROR(__xludf.DUMMYFUNCTION("""COMPUTED_VALUE"""),"Yes, Hispanic or Latino")</f>
        <v>Yes, Hispanic or Latino</v>
      </c>
      <c r="G132" s="2" t="str">
        <f>IFERROR(__xludf.DUMMYFUNCTION("""COMPUTED_VALUE"""),"White")</f>
        <v>White</v>
      </c>
      <c r="H132" s="4">
        <f>IFERROR(__xludf.DUMMYFUNCTION("""COMPUTED_VALUE"""),1053.0)</f>
        <v>1053</v>
      </c>
      <c r="I132" s="2" t="str">
        <f>IFERROR(__xludf.DUMMYFUNCTION("""COMPUTED_VALUE"""),"000308")</f>
        <v>000308</v>
      </c>
      <c r="J132" s="2" t="str">
        <f>IFERROR(__xludf.DUMMYFUNCTION("""COMPUTED_VALUE"""),"25-26")</f>
        <v>25-26</v>
      </c>
    </row>
    <row r="133">
      <c r="A133" s="2" t="str">
        <f>IFERROR(__xludf.DUMMYFUNCTION("""COMPUTED_VALUE"""),"8117207638")</f>
        <v>8117207638</v>
      </c>
      <c r="B133" s="2" t="str">
        <f>IFERROR(__xludf.DUMMYFUNCTION("""COMPUTED_VALUE"""),"Doan")</f>
        <v>Doan</v>
      </c>
      <c r="C133" s="2" t="str">
        <f>IFERROR(__xludf.DUMMYFUNCTION("""COMPUTED_VALUE"""),"Leia")</f>
        <v>Leia</v>
      </c>
      <c r="D133" s="4">
        <f>IFERROR(__xludf.DUMMYFUNCTION("""COMPUTED_VALUE"""),8.0)</f>
        <v>8</v>
      </c>
      <c r="E133" s="2" t="str">
        <f>IFERROR(__xludf.DUMMYFUNCTION("""COMPUTED_VALUE"""),"F")</f>
        <v>F</v>
      </c>
      <c r="F133" s="2" t="str">
        <f>IFERROR(__xludf.DUMMYFUNCTION("""COMPUTED_VALUE"""),"No, not Hispanic or Latino")</f>
        <v>No, not Hispanic or Latino</v>
      </c>
      <c r="G133" s="2" t="str">
        <f>IFERROR(__xludf.DUMMYFUNCTION("""COMPUTED_VALUE"""),"White")</f>
        <v>White</v>
      </c>
      <c r="H133" s="4">
        <f>IFERROR(__xludf.DUMMYFUNCTION("""COMPUTED_VALUE"""),1054.0)</f>
        <v>1054</v>
      </c>
      <c r="I133" s="2" t="str">
        <f>IFERROR(__xludf.DUMMYFUNCTION("""COMPUTED_VALUE"""),"000308")</f>
        <v>000308</v>
      </c>
      <c r="J133" s="2" t="str">
        <f>IFERROR(__xludf.DUMMYFUNCTION("""COMPUTED_VALUE"""),"25-26")</f>
        <v>25-26</v>
      </c>
    </row>
    <row r="134">
      <c r="A134" s="2" t="str">
        <f>IFERROR(__xludf.DUMMYFUNCTION("""COMPUTED_VALUE"""),"3732120224")</f>
        <v>3732120224</v>
      </c>
      <c r="B134" s="2" t="str">
        <f>IFERROR(__xludf.DUMMYFUNCTION("""COMPUTED_VALUE"""),"Evens")</f>
        <v>Evens</v>
      </c>
      <c r="C134" s="2" t="str">
        <f>IFERROR(__xludf.DUMMYFUNCTION("""COMPUTED_VALUE"""),"Scarlett")</f>
        <v>Scarlett</v>
      </c>
      <c r="D134" s="4">
        <f>IFERROR(__xludf.DUMMYFUNCTION("""COMPUTED_VALUE"""),8.0)</f>
        <v>8</v>
      </c>
      <c r="E134" s="2" t="str">
        <f>IFERROR(__xludf.DUMMYFUNCTION("""COMPUTED_VALUE"""),"F")</f>
        <v>F</v>
      </c>
      <c r="F134" s="2" t="str">
        <f>IFERROR(__xludf.DUMMYFUNCTION("""COMPUTED_VALUE"""),"No, not Hispanic or Latino")</f>
        <v>No, not Hispanic or Latino</v>
      </c>
      <c r="G134" s="2" t="str">
        <f>IFERROR(__xludf.DUMMYFUNCTION("""COMPUTED_VALUE"""),"White")</f>
        <v>White</v>
      </c>
      <c r="H134" s="4">
        <f>IFERROR(__xludf.DUMMYFUNCTION("""COMPUTED_VALUE"""),1053.0)</f>
        <v>1053</v>
      </c>
      <c r="I134" s="2" t="str">
        <f>IFERROR(__xludf.DUMMYFUNCTION("""COMPUTED_VALUE"""),"000308")</f>
        <v>000308</v>
      </c>
      <c r="J134" s="2" t="str">
        <f>IFERROR(__xludf.DUMMYFUNCTION("""COMPUTED_VALUE"""),"25-26")</f>
        <v>25-26</v>
      </c>
    </row>
    <row r="135">
      <c r="A135" s="2" t="str">
        <f>IFERROR(__xludf.DUMMYFUNCTION("""COMPUTED_VALUE"""),"1241645602")</f>
        <v>1241645602</v>
      </c>
      <c r="B135" s="2" t="str">
        <f>IFERROR(__xludf.DUMMYFUNCTION("""COMPUTED_VALUE"""),"Fischer")</f>
        <v>Fischer</v>
      </c>
      <c r="C135" s="2" t="str">
        <f>IFERROR(__xludf.DUMMYFUNCTION("""COMPUTED_VALUE"""),"Devon")</f>
        <v>Devon</v>
      </c>
      <c r="D135" s="4">
        <f>IFERROR(__xludf.DUMMYFUNCTION("""COMPUTED_VALUE"""),8.0)</f>
        <v>8</v>
      </c>
      <c r="E135" s="2" t="str">
        <f>IFERROR(__xludf.DUMMYFUNCTION("""COMPUTED_VALUE"""),"M")</f>
        <v>M</v>
      </c>
      <c r="F135" s="2" t="str">
        <f>IFERROR(__xludf.DUMMYFUNCTION("""COMPUTED_VALUE"""),"No, not Hispanic or Latino")</f>
        <v>No, not Hispanic or Latino</v>
      </c>
      <c r="G135" s="2" t="str">
        <f>IFERROR(__xludf.DUMMYFUNCTION("""COMPUTED_VALUE"""),"White")</f>
        <v>White</v>
      </c>
      <c r="H135" s="4">
        <f>IFERROR(__xludf.DUMMYFUNCTION("""COMPUTED_VALUE"""),1053.0)</f>
        <v>1053</v>
      </c>
      <c r="I135" s="2" t="str">
        <f>IFERROR(__xludf.DUMMYFUNCTION("""COMPUTED_VALUE"""),"000308")</f>
        <v>000308</v>
      </c>
      <c r="J135" s="2" t="str">
        <f>IFERROR(__xludf.DUMMYFUNCTION("""COMPUTED_VALUE"""),"25-26")</f>
        <v>25-26</v>
      </c>
    </row>
    <row r="136">
      <c r="A136" s="2" t="str">
        <f>IFERROR(__xludf.DUMMYFUNCTION("""COMPUTED_VALUE"""),"2532054802")</f>
        <v>2532054802</v>
      </c>
      <c r="B136" s="2" t="str">
        <f>IFERROR(__xludf.DUMMYFUNCTION("""COMPUTED_VALUE"""),"Fuette")</f>
        <v>Fuette</v>
      </c>
      <c r="C136" s="2" t="str">
        <f>IFERROR(__xludf.DUMMYFUNCTION("""COMPUTED_VALUE"""),"Joshua")</f>
        <v>Joshua</v>
      </c>
      <c r="D136" s="4">
        <f>IFERROR(__xludf.DUMMYFUNCTION("""COMPUTED_VALUE"""),8.0)</f>
        <v>8</v>
      </c>
      <c r="E136" s="2" t="str">
        <f>IFERROR(__xludf.DUMMYFUNCTION("""COMPUTED_VALUE"""),"M")</f>
        <v>M</v>
      </c>
      <c r="F136" s="2" t="str">
        <f>IFERROR(__xludf.DUMMYFUNCTION("""COMPUTED_VALUE"""),"No, not Hispanic or Latino")</f>
        <v>No, not Hispanic or Latino</v>
      </c>
      <c r="G136" s="2" t="str">
        <f>IFERROR(__xludf.DUMMYFUNCTION("""COMPUTED_VALUE"""),"White")</f>
        <v>White</v>
      </c>
      <c r="H136" s="4">
        <f>IFERROR(__xludf.DUMMYFUNCTION("""COMPUTED_VALUE"""),1053.0)</f>
        <v>1053</v>
      </c>
      <c r="I136" s="2" t="str">
        <f>IFERROR(__xludf.DUMMYFUNCTION("""COMPUTED_VALUE"""),"000308")</f>
        <v>000308</v>
      </c>
      <c r="J136" s="2" t="str">
        <f>IFERROR(__xludf.DUMMYFUNCTION("""COMPUTED_VALUE"""),"25-26")</f>
        <v>25-26</v>
      </c>
    </row>
    <row r="137">
      <c r="A137" s="2" t="str">
        <f>IFERROR(__xludf.DUMMYFUNCTION("""COMPUTED_VALUE"""),"6565164906")</f>
        <v>6565164906</v>
      </c>
      <c r="B137" s="2" t="str">
        <f>IFERROR(__xludf.DUMMYFUNCTION("""COMPUTED_VALUE"""),"Grammer")</f>
        <v>Grammer</v>
      </c>
      <c r="C137" s="2" t="str">
        <f>IFERROR(__xludf.DUMMYFUNCTION("""COMPUTED_VALUE"""),"Dylan")</f>
        <v>Dylan</v>
      </c>
      <c r="D137" s="4">
        <f>IFERROR(__xludf.DUMMYFUNCTION("""COMPUTED_VALUE"""),8.0)</f>
        <v>8</v>
      </c>
      <c r="E137" s="2" t="str">
        <f>IFERROR(__xludf.DUMMYFUNCTION("""COMPUTED_VALUE"""),"M")</f>
        <v>M</v>
      </c>
      <c r="F137" s="2" t="str">
        <f>IFERROR(__xludf.DUMMYFUNCTION("""COMPUTED_VALUE"""),"No, not Hispanic or Latino")</f>
        <v>No, not Hispanic or Latino</v>
      </c>
      <c r="G137" s="2" t="str">
        <f>IFERROR(__xludf.DUMMYFUNCTION("""COMPUTED_VALUE"""),"White")</f>
        <v>White</v>
      </c>
      <c r="H137" s="4">
        <f>IFERROR(__xludf.DUMMYFUNCTION("""COMPUTED_VALUE"""),1054.0)</f>
        <v>1054</v>
      </c>
      <c r="I137" s="2" t="str">
        <f>IFERROR(__xludf.DUMMYFUNCTION("""COMPUTED_VALUE"""),"000308")</f>
        <v>000308</v>
      </c>
      <c r="J137" s="2" t="str">
        <f>IFERROR(__xludf.DUMMYFUNCTION("""COMPUTED_VALUE"""),"25-26")</f>
        <v>25-26</v>
      </c>
    </row>
    <row r="138">
      <c r="A138" s="2" t="str">
        <f>IFERROR(__xludf.DUMMYFUNCTION("""COMPUTED_VALUE"""),"4085724712")</f>
        <v>4085724712</v>
      </c>
      <c r="B138" s="2" t="str">
        <f>IFERROR(__xludf.DUMMYFUNCTION("""COMPUTED_VALUE"""),"Grinchenko")</f>
        <v>Grinchenko</v>
      </c>
      <c r="C138" s="2" t="str">
        <f>IFERROR(__xludf.DUMMYFUNCTION("""COMPUTED_VALUE"""),"Ivan")</f>
        <v>Ivan</v>
      </c>
      <c r="D138" s="4">
        <f>IFERROR(__xludf.DUMMYFUNCTION("""COMPUTED_VALUE"""),8.0)</f>
        <v>8</v>
      </c>
      <c r="E138" s="2" t="str">
        <f>IFERROR(__xludf.DUMMYFUNCTION("""COMPUTED_VALUE"""),"M")</f>
        <v>M</v>
      </c>
      <c r="F138" s="2" t="str">
        <f>IFERROR(__xludf.DUMMYFUNCTION("""COMPUTED_VALUE"""),"No, not Hispanic or Latino")</f>
        <v>No, not Hispanic or Latino</v>
      </c>
      <c r="G138" s="2" t="str">
        <f>IFERROR(__xludf.DUMMYFUNCTION("""COMPUTED_VALUE"""),"White")</f>
        <v>White</v>
      </c>
      <c r="H138" s="4">
        <f>IFERROR(__xludf.DUMMYFUNCTION("""COMPUTED_VALUE"""),1053.0)</f>
        <v>1053</v>
      </c>
      <c r="I138" s="2" t="str">
        <f>IFERROR(__xludf.DUMMYFUNCTION("""COMPUTED_VALUE"""),"000308")</f>
        <v>000308</v>
      </c>
      <c r="J138" s="2" t="str">
        <f>IFERROR(__xludf.DUMMYFUNCTION("""COMPUTED_VALUE"""),"25-26")</f>
        <v>25-26</v>
      </c>
    </row>
    <row r="139">
      <c r="A139" s="2" t="str">
        <f>IFERROR(__xludf.DUMMYFUNCTION("""COMPUTED_VALUE"""),"6342064828")</f>
        <v>6342064828</v>
      </c>
      <c r="B139" s="2" t="str">
        <f>IFERROR(__xludf.DUMMYFUNCTION("""COMPUTED_VALUE"""),"Harrow")</f>
        <v>Harrow</v>
      </c>
      <c r="C139" s="2" t="str">
        <f>IFERROR(__xludf.DUMMYFUNCTION("""COMPUTED_VALUE"""),"Ryan")</f>
        <v>Ryan</v>
      </c>
      <c r="D139" s="4">
        <f>IFERROR(__xludf.DUMMYFUNCTION("""COMPUTED_VALUE"""),8.0)</f>
        <v>8</v>
      </c>
      <c r="E139" s="2" t="str">
        <f>IFERROR(__xludf.DUMMYFUNCTION("""COMPUTED_VALUE"""),"M")</f>
        <v>M</v>
      </c>
      <c r="F139" s="2" t="str">
        <f>IFERROR(__xludf.DUMMYFUNCTION("""COMPUTED_VALUE"""),"No, not Hispanic or Latino")</f>
        <v>No, not Hispanic or Latino</v>
      </c>
      <c r="G139" s="2" t="str">
        <f>IFERROR(__xludf.DUMMYFUNCTION("""COMPUTED_VALUE"""),"White")</f>
        <v>White</v>
      </c>
      <c r="H139" s="4">
        <f>IFERROR(__xludf.DUMMYFUNCTION("""COMPUTED_VALUE"""),1054.0)</f>
        <v>1054</v>
      </c>
      <c r="I139" s="2" t="str">
        <f>IFERROR(__xludf.DUMMYFUNCTION("""COMPUTED_VALUE"""),"000308")</f>
        <v>000308</v>
      </c>
      <c r="J139" s="2" t="str">
        <f>IFERROR(__xludf.DUMMYFUNCTION("""COMPUTED_VALUE"""),"25-26")</f>
        <v>25-26</v>
      </c>
    </row>
    <row r="140">
      <c r="A140" s="2" t="str">
        <f>IFERROR(__xludf.DUMMYFUNCTION("""COMPUTED_VALUE"""),"2944171991")</f>
        <v>2944171991</v>
      </c>
      <c r="B140" s="2" t="str">
        <f>IFERROR(__xludf.DUMMYFUNCTION("""COMPUTED_VALUE"""),"Hawkins")</f>
        <v>Hawkins</v>
      </c>
      <c r="C140" s="2" t="str">
        <f>IFERROR(__xludf.DUMMYFUNCTION("""COMPUTED_VALUE"""),"James")</f>
        <v>James</v>
      </c>
      <c r="D140" s="4">
        <f>IFERROR(__xludf.DUMMYFUNCTION("""COMPUTED_VALUE"""),8.0)</f>
        <v>8</v>
      </c>
      <c r="E140" s="2" t="str">
        <f>IFERROR(__xludf.DUMMYFUNCTION("""COMPUTED_VALUE"""),"M")</f>
        <v>M</v>
      </c>
      <c r="F140" s="2" t="str">
        <f>IFERROR(__xludf.DUMMYFUNCTION("""COMPUTED_VALUE"""),"No, not Hispanic or Latino")</f>
        <v>No, not Hispanic or Latino</v>
      </c>
      <c r="G140" s="2" t="str">
        <f>IFERROR(__xludf.DUMMYFUNCTION("""COMPUTED_VALUE"""),"White")</f>
        <v>White</v>
      </c>
      <c r="H140" s="4">
        <f>IFERROR(__xludf.DUMMYFUNCTION("""COMPUTED_VALUE"""),1054.0)</f>
        <v>1054</v>
      </c>
      <c r="I140" s="2" t="str">
        <f>IFERROR(__xludf.DUMMYFUNCTION("""COMPUTED_VALUE"""),"000308")</f>
        <v>000308</v>
      </c>
      <c r="J140" s="2" t="str">
        <f>IFERROR(__xludf.DUMMYFUNCTION("""COMPUTED_VALUE"""),"25-26")</f>
        <v>25-26</v>
      </c>
    </row>
    <row r="141">
      <c r="A141" s="2" t="str">
        <f>IFERROR(__xludf.DUMMYFUNCTION("""COMPUTED_VALUE"""),"3787724507")</f>
        <v>3787724507</v>
      </c>
      <c r="B141" s="2" t="str">
        <f>IFERROR(__xludf.DUMMYFUNCTION("""COMPUTED_VALUE"""),"Ikeda")</f>
        <v>Ikeda</v>
      </c>
      <c r="C141" s="2" t="str">
        <f>IFERROR(__xludf.DUMMYFUNCTION("""COMPUTED_VALUE"""),"Alexander")</f>
        <v>Alexander</v>
      </c>
      <c r="D141" s="4">
        <f>IFERROR(__xludf.DUMMYFUNCTION("""COMPUTED_VALUE"""),8.0)</f>
        <v>8</v>
      </c>
      <c r="E141" s="2" t="str">
        <f>IFERROR(__xludf.DUMMYFUNCTION("""COMPUTED_VALUE"""),"M")</f>
        <v>M</v>
      </c>
      <c r="F141" s="2" t="str">
        <f>IFERROR(__xludf.DUMMYFUNCTION("""COMPUTED_VALUE"""),"Yes, Hispanic or Latino")</f>
        <v>Yes, Hispanic or Latino</v>
      </c>
      <c r="G141" s="2" t="str">
        <f>IFERROR(__xludf.DUMMYFUNCTION("""COMPUTED_VALUE"""),"Japanese")</f>
        <v>Japanese</v>
      </c>
      <c r="H141" s="4">
        <f>IFERROR(__xludf.DUMMYFUNCTION("""COMPUTED_VALUE"""),1053.0)</f>
        <v>1053</v>
      </c>
      <c r="I141" s="2" t="str">
        <f>IFERROR(__xludf.DUMMYFUNCTION("""COMPUTED_VALUE"""),"000308")</f>
        <v>000308</v>
      </c>
      <c r="J141" s="2" t="str">
        <f>IFERROR(__xludf.DUMMYFUNCTION("""COMPUTED_VALUE"""),"25-26")</f>
        <v>25-26</v>
      </c>
    </row>
    <row r="142">
      <c r="A142" s="2" t="str">
        <f>IFERROR(__xludf.DUMMYFUNCTION("""COMPUTED_VALUE"""),"5572040771")</f>
        <v>5572040771</v>
      </c>
      <c r="B142" s="2" t="str">
        <f>IFERROR(__xludf.DUMMYFUNCTION("""COMPUTED_VALUE"""),"Johnson")</f>
        <v>Johnson</v>
      </c>
      <c r="C142" s="2" t="str">
        <f>IFERROR(__xludf.DUMMYFUNCTION("""COMPUTED_VALUE"""),"Owen")</f>
        <v>Owen</v>
      </c>
      <c r="D142" s="4">
        <f>IFERROR(__xludf.DUMMYFUNCTION("""COMPUTED_VALUE"""),8.0)</f>
        <v>8</v>
      </c>
      <c r="E142" s="2" t="str">
        <f>IFERROR(__xludf.DUMMYFUNCTION("""COMPUTED_VALUE"""),"M")</f>
        <v>M</v>
      </c>
      <c r="F142" s="2" t="str">
        <f>IFERROR(__xludf.DUMMYFUNCTION("""COMPUTED_VALUE"""),"No, not Hispanic or Latino")</f>
        <v>No, not Hispanic or Latino</v>
      </c>
      <c r="G142" s="2" t="str">
        <f>IFERROR(__xludf.DUMMYFUNCTION("""COMPUTED_VALUE"""),"White")</f>
        <v>White</v>
      </c>
      <c r="H142" s="4">
        <f>IFERROR(__xludf.DUMMYFUNCTION("""COMPUTED_VALUE"""),1054.0)</f>
        <v>1054</v>
      </c>
      <c r="I142" s="2" t="str">
        <f>IFERROR(__xludf.DUMMYFUNCTION("""COMPUTED_VALUE"""),"000308")</f>
        <v>000308</v>
      </c>
      <c r="J142" s="2" t="str">
        <f>IFERROR(__xludf.DUMMYFUNCTION("""COMPUTED_VALUE"""),"25-26")</f>
        <v>25-26</v>
      </c>
    </row>
    <row r="143">
      <c r="A143" s="2" t="str">
        <f>IFERROR(__xludf.DUMMYFUNCTION("""COMPUTED_VALUE"""),"8515397441")</f>
        <v>8515397441</v>
      </c>
      <c r="B143" s="2" t="str">
        <f>IFERROR(__xludf.DUMMYFUNCTION("""COMPUTED_VALUE"""),"Jones")</f>
        <v>Jones</v>
      </c>
      <c r="C143" s="2" t="str">
        <f>IFERROR(__xludf.DUMMYFUNCTION("""COMPUTED_VALUE"""),"Violetta")</f>
        <v>Violetta</v>
      </c>
      <c r="D143" s="4">
        <f>IFERROR(__xludf.DUMMYFUNCTION("""COMPUTED_VALUE"""),8.0)</f>
        <v>8</v>
      </c>
      <c r="E143" s="2" t="str">
        <f>IFERROR(__xludf.DUMMYFUNCTION("""COMPUTED_VALUE"""),"F")</f>
        <v>F</v>
      </c>
      <c r="F143" s="2" t="str">
        <f>IFERROR(__xludf.DUMMYFUNCTION("""COMPUTED_VALUE"""),"No, not Hispanic or Latino")</f>
        <v>No, not Hispanic or Latino</v>
      </c>
      <c r="G143" s="2" t="str">
        <f>IFERROR(__xludf.DUMMYFUNCTION("""COMPUTED_VALUE"""),"White")</f>
        <v>White</v>
      </c>
      <c r="H143" s="4">
        <f>IFERROR(__xludf.DUMMYFUNCTION("""COMPUTED_VALUE"""),1054.0)</f>
        <v>1054</v>
      </c>
      <c r="I143" s="2" t="str">
        <f>IFERROR(__xludf.DUMMYFUNCTION("""COMPUTED_VALUE"""),"000308")</f>
        <v>000308</v>
      </c>
      <c r="J143" s="2" t="str">
        <f>IFERROR(__xludf.DUMMYFUNCTION("""COMPUTED_VALUE"""),"25-26")</f>
        <v>25-26</v>
      </c>
    </row>
    <row r="144">
      <c r="A144" s="2" t="str">
        <f>IFERROR(__xludf.DUMMYFUNCTION("""COMPUTED_VALUE"""),"7782793288")</f>
        <v>7782793288</v>
      </c>
      <c r="B144" s="2" t="str">
        <f>IFERROR(__xludf.DUMMYFUNCTION("""COMPUTED_VALUE"""),"Keast")</f>
        <v>Keast</v>
      </c>
      <c r="C144" s="2" t="str">
        <f>IFERROR(__xludf.DUMMYFUNCTION("""COMPUTED_VALUE"""),"Ethan")</f>
        <v>Ethan</v>
      </c>
      <c r="D144" s="4">
        <f>IFERROR(__xludf.DUMMYFUNCTION("""COMPUTED_VALUE"""),8.0)</f>
        <v>8</v>
      </c>
      <c r="E144" s="2" t="str">
        <f>IFERROR(__xludf.DUMMYFUNCTION("""COMPUTED_VALUE"""),"M")</f>
        <v>M</v>
      </c>
      <c r="F144" s="2" t="str">
        <f>IFERROR(__xludf.DUMMYFUNCTION("""COMPUTED_VALUE"""),"No, not Hispanic or Latino")</f>
        <v>No, not Hispanic or Latino</v>
      </c>
      <c r="G144" s="2" t="str">
        <f>IFERROR(__xludf.DUMMYFUNCTION("""COMPUTED_VALUE"""),"Chinese")</f>
        <v>Chinese</v>
      </c>
      <c r="H144" s="4">
        <f>IFERROR(__xludf.DUMMYFUNCTION("""COMPUTED_VALUE"""),1054.0)</f>
        <v>1054</v>
      </c>
      <c r="I144" s="2" t="str">
        <f>IFERROR(__xludf.DUMMYFUNCTION("""COMPUTED_VALUE"""),"000308")</f>
        <v>000308</v>
      </c>
      <c r="J144" s="2" t="str">
        <f>IFERROR(__xludf.DUMMYFUNCTION("""COMPUTED_VALUE"""),"25-26")</f>
        <v>25-26</v>
      </c>
    </row>
    <row r="145">
      <c r="A145" s="2" t="str">
        <f>IFERROR(__xludf.DUMMYFUNCTION("""COMPUTED_VALUE"""),"3005579092")</f>
        <v>3005579092</v>
      </c>
      <c r="B145" s="2" t="str">
        <f>IFERROR(__xludf.DUMMYFUNCTION("""COMPUTED_VALUE"""),"Kelly")</f>
        <v>Kelly</v>
      </c>
      <c r="C145" s="2" t="str">
        <f>IFERROR(__xludf.DUMMYFUNCTION("""COMPUTED_VALUE"""),"Elizabeth")</f>
        <v>Elizabeth</v>
      </c>
      <c r="D145" s="4">
        <f>IFERROR(__xludf.DUMMYFUNCTION("""COMPUTED_VALUE"""),8.0)</f>
        <v>8</v>
      </c>
      <c r="E145" s="2" t="str">
        <f>IFERROR(__xludf.DUMMYFUNCTION("""COMPUTED_VALUE"""),"F")</f>
        <v>F</v>
      </c>
      <c r="F145" s="2" t="str">
        <f>IFERROR(__xludf.DUMMYFUNCTION("""COMPUTED_VALUE"""),"No, not Hispanic or Latino")</f>
        <v>No, not Hispanic or Latino</v>
      </c>
      <c r="G145" s="2" t="str">
        <f>IFERROR(__xludf.DUMMYFUNCTION("""COMPUTED_VALUE"""),"White")</f>
        <v>White</v>
      </c>
      <c r="H145" s="4">
        <f>IFERROR(__xludf.DUMMYFUNCTION("""COMPUTED_VALUE"""),1054.0)</f>
        <v>1054</v>
      </c>
      <c r="I145" s="2" t="str">
        <f>IFERROR(__xludf.DUMMYFUNCTION("""COMPUTED_VALUE"""),"000308")</f>
        <v>000308</v>
      </c>
      <c r="J145" s="2" t="str">
        <f>IFERROR(__xludf.DUMMYFUNCTION("""COMPUTED_VALUE"""),"25-26")</f>
        <v>25-26</v>
      </c>
    </row>
    <row r="146">
      <c r="A146" s="2" t="str">
        <f>IFERROR(__xludf.DUMMYFUNCTION("""COMPUTED_VALUE"""),"6933712476")</f>
        <v>6933712476</v>
      </c>
      <c r="B146" s="2" t="str">
        <f>IFERROR(__xludf.DUMMYFUNCTION("""COMPUTED_VALUE"""),"Kelly")</f>
        <v>Kelly</v>
      </c>
      <c r="C146" s="2" t="str">
        <f>IFERROR(__xludf.DUMMYFUNCTION("""COMPUTED_VALUE"""),"James")</f>
        <v>James</v>
      </c>
      <c r="D146" s="4">
        <f>IFERROR(__xludf.DUMMYFUNCTION("""COMPUTED_VALUE"""),8.0)</f>
        <v>8</v>
      </c>
      <c r="E146" s="2" t="str">
        <f>IFERROR(__xludf.DUMMYFUNCTION("""COMPUTED_VALUE"""),"M")</f>
        <v>M</v>
      </c>
      <c r="F146" s="2" t="str">
        <f>IFERROR(__xludf.DUMMYFUNCTION("""COMPUTED_VALUE"""),"No, not Hispanic or Latino")</f>
        <v>No, not Hispanic or Latino</v>
      </c>
      <c r="G146" s="2" t="str">
        <f>IFERROR(__xludf.DUMMYFUNCTION("""COMPUTED_VALUE"""),"White")</f>
        <v>White</v>
      </c>
      <c r="H146" s="4">
        <f>IFERROR(__xludf.DUMMYFUNCTION("""COMPUTED_VALUE"""),1053.0)</f>
        <v>1053</v>
      </c>
      <c r="I146" s="2" t="str">
        <f>IFERROR(__xludf.DUMMYFUNCTION("""COMPUTED_VALUE"""),"000308")</f>
        <v>000308</v>
      </c>
      <c r="J146" s="2" t="str">
        <f>IFERROR(__xludf.DUMMYFUNCTION("""COMPUTED_VALUE"""),"25-26")</f>
        <v>25-26</v>
      </c>
    </row>
    <row r="147">
      <c r="A147" s="2" t="str">
        <f>IFERROR(__xludf.DUMMYFUNCTION("""COMPUTED_VALUE"""),"3911846062")</f>
        <v>3911846062</v>
      </c>
      <c r="B147" s="2" t="str">
        <f>IFERROR(__xludf.DUMMYFUNCTION("""COMPUTED_VALUE"""),"Kleinman-Green")</f>
        <v>Kleinman-Green</v>
      </c>
      <c r="C147" s="2" t="str">
        <f>IFERROR(__xludf.DUMMYFUNCTION("""COMPUTED_VALUE"""),"Lila")</f>
        <v>Lila</v>
      </c>
      <c r="D147" s="4">
        <f>IFERROR(__xludf.DUMMYFUNCTION("""COMPUTED_VALUE"""),7.0)</f>
        <v>7</v>
      </c>
      <c r="E147" s="2" t="str">
        <f>IFERROR(__xludf.DUMMYFUNCTION("""COMPUTED_VALUE"""),"F")</f>
        <v>F</v>
      </c>
      <c r="F147" s="2" t="str">
        <f>IFERROR(__xludf.DUMMYFUNCTION("""COMPUTED_VALUE"""),"No, not Hispanic or Latino")</f>
        <v>No, not Hispanic or Latino</v>
      </c>
      <c r="G147" s="2" t="str">
        <f>IFERROR(__xludf.DUMMYFUNCTION("""COMPUTED_VALUE"""),"White")</f>
        <v>White</v>
      </c>
      <c r="H147" s="4">
        <f>IFERROR(__xludf.DUMMYFUNCTION("""COMPUTED_VALUE"""),1053.0)</f>
        <v>1053</v>
      </c>
      <c r="I147" s="2" t="str">
        <f>IFERROR(__xludf.DUMMYFUNCTION("""COMPUTED_VALUE"""),"000308")</f>
        <v>000308</v>
      </c>
      <c r="J147" s="2" t="str">
        <f>IFERROR(__xludf.DUMMYFUNCTION("""COMPUTED_VALUE"""),"25-26")</f>
        <v>25-26</v>
      </c>
    </row>
    <row r="148">
      <c r="A148" s="2" t="str">
        <f>IFERROR(__xludf.DUMMYFUNCTION("""COMPUTED_VALUE"""),"5797643308")</f>
        <v>5797643308</v>
      </c>
      <c r="B148" s="2" t="str">
        <f>IFERROR(__xludf.DUMMYFUNCTION("""COMPUTED_VALUE"""),"Lawlor")</f>
        <v>Lawlor</v>
      </c>
      <c r="C148" s="2" t="str">
        <f>IFERROR(__xludf.DUMMYFUNCTION("""COMPUTED_VALUE"""),"William")</f>
        <v>William</v>
      </c>
      <c r="D148" s="4">
        <f>IFERROR(__xludf.DUMMYFUNCTION("""COMPUTED_VALUE"""),8.0)</f>
        <v>8</v>
      </c>
      <c r="E148" s="2" t="str">
        <f>IFERROR(__xludf.DUMMYFUNCTION("""COMPUTED_VALUE"""),"M")</f>
        <v>M</v>
      </c>
      <c r="F148" s="2" t="str">
        <f>IFERROR(__xludf.DUMMYFUNCTION("""COMPUTED_VALUE"""),"Yes, Hispanic or Latino")</f>
        <v>Yes, Hispanic or Latino</v>
      </c>
      <c r="G148" s="2" t="str">
        <f>IFERROR(__xludf.DUMMYFUNCTION("""COMPUTED_VALUE"""),"White")</f>
        <v>White</v>
      </c>
      <c r="H148" s="4">
        <f>IFERROR(__xludf.DUMMYFUNCTION("""COMPUTED_VALUE"""),1053.0)</f>
        <v>1053</v>
      </c>
      <c r="I148" s="2" t="str">
        <f>IFERROR(__xludf.DUMMYFUNCTION("""COMPUTED_VALUE"""),"000308")</f>
        <v>000308</v>
      </c>
      <c r="J148" s="2" t="str">
        <f>IFERROR(__xludf.DUMMYFUNCTION("""COMPUTED_VALUE"""),"25-26")</f>
        <v>25-26</v>
      </c>
    </row>
    <row r="149">
      <c r="A149" s="2" t="str">
        <f>IFERROR(__xludf.DUMMYFUNCTION("""COMPUTED_VALUE"""),"1232428443")</f>
        <v>1232428443</v>
      </c>
      <c r="B149" s="2" t="str">
        <f>IFERROR(__xludf.DUMMYFUNCTION("""COMPUTED_VALUE"""),"Lee")</f>
        <v>Lee</v>
      </c>
      <c r="C149" s="2" t="str">
        <f>IFERROR(__xludf.DUMMYFUNCTION("""COMPUTED_VALUE"""),"Bennett")</f>
        <v>Bennett</v>
      </c>
      <c r="D149" s="4">
        <f>IFERROR(__xludf.DUMMYFUNCTION("""COMPUTED_VALUE"""),8.0)</f>
        <v>8</v>
      </c>
      <c r="E149" s="2" t="str">
        <f>IFERROR(__xludf.DUMMYFUNCTION("""COMPUTED_VALUE"""),"M")</f>
        <v>M</v>
      </c>
      <c r="F149" s="2" t="str">
        <f>IFERROR(__xludf.DUMMYFUNCTION("""COMPUTED_VALUE"""),"No, not Hispanic or Latino")</f>
        <v>No, not Hispanic or Latino</v>
      </c>
      <c r="G149" s="2" t="str">
        <f>IFERROR(__xludf.DUMMYFUNCTION("""COMPUTED_VALUE"""),"Korean")</f>
        <v>Korean</v>
      </c>
      <c r="H149" s="4">
        <f>IFERROR(__xludf.DUMMYFUNCTION("""COMPUTED_VALUE"""),1054.0)</f>
        <v>1054</v>
      </c>
      <c r="I149" s="2" t="str">
        <f>IFERROR(__xludf.DUMMYFUNCTION("""COMPUTED_VALUE"""),"000308")</f>
        <v>000308</v>
      </c>
      <c r="J149" s="2" t="str">
        <f>IFERROR(__xludf.DUMMYFUNCTION("""COMPUTED_VALUE"""),"25-26")</f>
        <v>25-26</v>
      </c>
    </row>
    <row r="150">
      <c r="A150" s="2" t="str">
        <f>IFERROR(__xludf.DUMMYFUNCTION("""COMPUTED_VALUE"""),"7610469851")</f>
        <v>7610469851</v>
      </c>
      <c r="B150" s="2" t="str">
        <f>IFERROR(__xludf.DUMMYFUNCTION("""COMPUTED_VALUE"""),"MacKinnon Eagan")</f>
        <v>MacKinnon Eagan</v>
      </c>
      <c r="C150" s="2" t="str">
        <f>IFERROR(__xludf.DUMMYFUNCTION("""COMPUTED_VALUE"""),"Xylo")</f>
        <v>Xylo</v>
      </c>
      <c r="D150" s="4">
        <f>IFERROR(__xludf.DUMMYFUNCTION("""COMPUTED_VALUE"""),8.0)</f>
        <v>8</v>
      </c>
      <c r="E150" s="2" t="str">
        <f>IFERROR(__xludf.DUMMYFUNCTION("""COMPUTED_VALUE"""),"M")</f>
        <v>M</v>
      </c>
      <c r="F150" s="2" t="str">
        <f>IFERROR(__xludf.DUMMYFUNCTION("""COMPUTED_VALUE"""),"No, not Hispanic or Latino")</f>
        <v>No, not Hispanic or Latino</v>
      </c>
      <c r="G150" s="2" t="str">
        <f>IFERROR(__xludf.DUMMYFUNCTION("""COMPUTED_VALUE"""),"White")</f>
        <v>White</v>
      </c>
      <c r="H150" s="4">
        <f>IFERROR(__xludf.DUMMYFUNCTION("""COMPUTED_VALUE"""),1053.0)</f>
        <v>1053</v>
      </c>
      <c r="I150" s="2" t="str">
        <f>IFERROR(__xludf.DUMMYFUNCTION("""COMPUTED_VALUE"""),"000308")</f>
        <v>000308</v>
      </c>
      <c r="J150" s="2" t="str">
        <f>IFERROR(__xludf.DUMMYFUNCTION("""COMPUTED_VALUE"""),"25-26")</f>
        <v>25-26</v>
      </c>
    </row>
    <row r="151">
      <c r="A151" s="2" t="str">
        <f>IFERROR(__xludf.DUMMYFUNCTION("""COMPUTED_VALUE"""),"5443018806")</f>
        <v>5443018806</v>
      </c>
      <c r="B151" s="2" t="str">
        <f>IFERROR(__xludf.DUMMYFUNCTION("""COMPUTED_VALUE"""),"Marsh")</f>
        <v>Marsh</v>
      </c>
      <c r="C151" s="2" t="str">
        <f>IFERROR(__xludf.DUMMYFUNCTION("""COMPUTED_VALUE"""),"Anais")</f>
        <v>Anais</v>
      </c>
      <c r="D151" s="4">
        <f>IFERROR(__xludf.DUMMYFUNCTION("""COMPUTED_VALUE"""),8.0)</f>
        <v>8</v>
      </c>
      <c r="E151" s="2" t="str">
        <f>IFERROR(__xludf.DUMMYFUNCTION("""COMPUTED_VALUE"""),"F")</f>
        <v>F</v>
      </c>
      <c r="F151" s="2" t="str">
        <f>IFERROR(__xludf.DUMMYFUNCTION("""COMPUTED_VALUE"""),"No, not Hispanic or Latino")</f>
        <v>No, not Hispanic or Latino</v>
      </c>
      <c r="G151" s="2" t="str">
        <f>IFERROR(__xludf.DUMMYFUNCTION("""COMPUTED_VALUE"""),"White")</f>
        <v>White</v>
      </c>
      <c r="H151" s="4">
        <f>IFERROR(__xludf.DUMMYFUNCTION("""COMPUTED_VALUE"""),1053.0)</f>
        <v>1053</v>
      </c>
      <c r="I151" s="2" t="str">
        <f>IFERROR(__xludf.DUMMYFUNCTION("""COMPUTED_VALUE"""),"000308")</f>
        <v>000308</v>
      </c>
      <c r="J151" s="2" t="str">
        <f>IFERROR(__xludf.DUMMYFUNCTION("""COMPUTED_VALUE"""),"25-26")</f>
        <v>25-26</v>
      </c>
    </row>
    <row r="152">
      <c r="A152" s="2" t="str">
        <f>IFERROR(__xludf.DUMMYFUNCTION("""COMPUTED_VALUE"""),"3398716721")</f>
        <v>3398716721</v>
      </c>
      <c r="B152" s="2" t="str">
        <f>IFERROR(__xludf.DUMMYFUNCTION("""COMPUTED_VALUE"""),"Mayers")</f>
        <v>Mayers</v>
      </c>
      <c r="C152" s="2" t="str">
        <f>IFERROR(__xludf.DUMMYFUNCTION("""COMPUTED_VALUE"""),"Molly")</f>
        <v>Molly</v>
      </c>
      <c r="D152" s="4">
        <f>IFERROR(__xludf.DUMMYFUNCTION("""COMPUTED_VALUE"""),8.0)</f>
        <v>8</v>
      </c>
      <c r="E152" s="2" t="str">
        <f>IFERROR(__xludf.DUMMYFUNCTION("""COMPUTED_VALUE"""),"F")</f>
        <v>F</v>
      </c>
      <c r="F152" s="2" t="str">
        <f>IFERROR(__xludf.DUMMYFUNCTION("""COMPUTED_VALUE"""),"No, not Hispanic or Latino")</f>
        <v>No, not Hispanic or Latino</v>
      </c>
      <c r="G152" s="2" t="str">
        <f>IFERROR(__xludf.DUMMYFUNCTION("""COMPUTED_VALUE"""),"White")</f>
        <v>White</v>
      </c>
      <c r="H152" s="4">
        <f>IFERROR(__xludf.DUMMYFUNCTION("""COMPUTED_VALUE"""),1054.0)</f>
        <v>1054</v>
      </c>
      <c r="I152" s="2" t="str">
        <f>IFERROR(__xludf.DUMMYFUNCTION("""COMPUTED_VALUE"""),"000308")</f>
        <v>000308</v>
      </c>
      <c r="J152" s="2" t="str">
        <f>IFERROR(__xludf.DUMMYFUNCTION("""COMPUTED_VALUE"""),"25-26")</f>
        <v>25-26</v>
      </c>
    </row>
    <row r="153">
      <c r="A153" s="2" t="str">
        <f>IFERROR(__xludf.DUMMYFUNCTION("""COMPUTED_VALUE"""),"8348647645")</f>
        <v>8348647645</v>
      </c>
      <c r="B153" s="2" t="str">
        <f>IFERROR(__xludf.DUMMYFUNCTION("""COMPUTED_VALUE"""),"McEldowney")</f>
        <v>McEldowney</v>
      </c>
      <c r="C153" s="2" t="str">
        <f>IFERROR(__xludf.DUMMYFUNCTION("""COMPUTED_VALUE"""),"Finn")</f>
        <v>Finn</v>
      </c>
      <c r="D153" s="4">
        <f>IFERROR(__xludf.DUMMYFUNCTION("""COMPUTED_VALUE"""),8.0)</f>
        <v>8</v>
      </c>
      <c r="E153" s="2" t="str">
        <f>IFERROR(__xludf.DUMMYFUNCTION("""COMPUTED_VALUE"""),"M")</f>
        <v>M</v>
      </c>
      <c r="F153" s="2" t="str">
        <f>IFERROR(__xludf.DUMMYFUNCTION("""COMPUTED_VALUE"""),"No, not Hispanic or Latino")</f>
        <v>No, not Hispanic or Latino</v>
      </c>
      <c r="G153" s="2" t="str">
        <f>IFERROR(__xludf.DUMMYFUNCTION("""COMPUTED_VALUE"""),"White")</f>
        <v>White</v>
      </c>
      <c r="H153" s="4">
        <f>IFERROR(__xludf.DUMMYFUNCTION("""COMPUTED_VALUE"""),1053.0)</f>
        <v>1053</v>
      </c>
      <c r="I153" s="2" t="str">
        <f>IFERROR(__xludf.DUMMYFUNCTION("""COMPUTED_VALUE"""),"000308")</f>
        <v>000308</v>
      </c>
      <c r="J153" s="2" t="str">
        <f>IFERROR(__xludf.DUMMYFUNCTION("""COMPUTED_VALUE"""),"25-26")</f>
        <v>25-26</v>
      </c>
    </row>
    <row r="154">
      <c r="A154" s="2" t="str">
        <f>IFERROR(__xludf.DUMMYFUNCTION("""COMPUTED_VALUE"""),"6191168218")</f>
        <v>6191168218</v>
      </c>
      <c r="B154" s="2" t="str">
        <f>IFERROR(__xludf.DUMMYFUNCTION("""COMPUTED_VALUE"""),"Michael Hegwer")</f>
        <v>Michael Hegwer</v>
      </c>
      <c r="C154" s="2" t="str">
        <f>IFERROR(__xludf.DUMMYFUNCTION("""COMPUTED_VALUE"""),"Samuel")</f>
        <v>Samuel</v>
      </c>
      <c r="D154" s="4">
        <f>IFERROR(__xludf.DUMMYFUNCTION("""COMPUTED_VALUE"""),8.0)</f>
        <v>8</v>
      </c>
      <c r="E154" s="2" t="str">
        <f>IFERROR(__xludf.DUMMYFUNCTION("""COMPUTED_VALUE"""),"M")</f>
        <v>M</v>
      </c>
      <c r="F154" s="2" t="str">
        <f>IFERROR(__xludf.DUMMYFUNCTION("""COMPUTED_VALUE"""),"No, not Hispanic or Latino")</f>
        <v>No, not Hispanic or Latino</v>
      </c>
      <c r="G154" s="2" t="str">
        <f>IFERROR(__xludf.DUMMYFUNCTION("""COMPUTED_VALUE"""),"White")</f>
        <v>White</v>
      </c>
      <c r="H154" s="4">
        <f>IFERROR(__xludf.DUMMYFUNCTION("""COMPUTED_VALUE"""),1054.0)</f>
        <v>1054</v>
      </c>
      <c r="I154" s="2" t="str">
        <f>IFERROR(__xludf.DUMMYFUNCTION("""COMPUTED_VALUE"""),"000308")</f>
        <v>000308</v>
      </c>
      <c r="J154" s="2" t="str">
        <f>IFERROR(__xludf.DUMMYFUNCTION("""COMPUTED_VALUE"""),"25-26")</f>
        <v>25-26</v>
      </c>
    </row>
    <row r="155">
      <c r="A155" s="2" t="str">
        <f>IFERROR(__xludf.DUMMYFUNCTION("""COMPUTED_VALUE"""),"7570616534")</f>
        <v>7570616534</v>
      </c>
      <c r="B155" s="2" t="str">
        <f>IFERROR(__xludf.DUMMYFUNCTION("""COMPUTED_VALUE"""),"Million")</f>
        <v>Million</v>
      </c>
      <c r="C155" s="2" t="str">
        <f>IFERROR(__xludf.DUMMYFUNCTION("""COMPUTED_VALUE"""),"Max")</f>
        <v>Max</v>
      </c>
      <c r="D155" s="4">
        <f>IFERROR(__xludf.DUMMYFUNCTION("""COMPUTED_VALUE"""),8.0)</f>
        <v>8</v>
      </c>
      <c r="E155" s="2" t="str">
        <f>IFERROR(__xludf.DUMMYFUNCTION("""COMPUTED_VALUE"""),"M")</f>
        <v>M</v>
      </c>
      <c r="F155" s="2" t="str">
        <f>IFERROR(__xludf.DUMMYFUNCTION("""COMPUTED_VALUE"""),"No, not Hispanic or Latino")</f>
        <v>No, not Hispanic or Latino</v>
      </c>
      <c r="G155" s="2" t="str">
        <f>IFERROR(__xludf.DUMMYFUNCTION("""COMPUTED_VALUE"""),"White")</f>
        <v>White</v>
      </c>
      <c r="H155" s="4">
        <f>IFERROR(__xludf.DUMMYFUNCTION("""COMPUTED_VALUE"""),1054.0)</f>
        <v>1054</v>
      </c>
      <c r="I155" s="2" t="str">
        <f>IFERROR(__xludf.DUMMYFUNCTION("""COMPUTED_VALUE"""),"000308")</f>
        <v>000308</v>
      </c>
      <c r="J155" s="2" t="str">
        <f>IFERROR(__xludf.DUMMYFUNCTION("""COMPUTED_VALUE"""),"25-26")</f>
        <v>25-26</v>
      </c>
    </row>
    <row r="156">
      <c r="A156" s="2" t="str">
        <f>IFERROR(__xludf.DUMMYFUNCTION("""COMPUTED_VALUE"""),"5826237322")</f>
        <v>5826237322</v>
      </c>
      <c r="B156" s="2" t="str">
        <f>IFERROR(__xludf.DUMMYFUNCTION("""COMPUTED_VALUE"""),"Moaveni")</f>
        <v>Moaveni</v>
      </c>
      <c r="C156" s="2" t="str">
        <f>IFERROR(__xludf.DUMMYFUNCTION("""COMPUTED_VALUE"""),"Yasaman")</f>
        <v>Yasaman</v>
      </c>
      <c r="D156" s="4">
        <f>IFERROR(__xludf.DUMMYFUNCTION("""COMPUTED_VALUE"""),8.0)</f>
        <v>8</v>
      </c>
      <c r="E156" s="2" t="str">
        <f>IFERROR(__xludf.DUMMYFUNCTION("""COMPUTED_VALUE"""),"F")</f>
        <v>F</v>
      </c>
      <c r="F156" s="2" t="str">
        <f>IFERROR(__xludf.DUMMYFUNCTION("""COMPUTED_VALUE"""),"No, not Hispanic or Latino")</f>
        <v>No, not Hispanic or Latino</v>
      </c>
      <c r="G156" s="2" t="str">
        <f>IFERROR(__xludf.DUMMYFUNCTION("""COMPUTED_VALUE"""),"White")</f>
        <v>White</v>
      </c>
      <c r="H156" s="4">
        <f>IFERROR(__xludf.DUMMYFUNCTION("""COMPUTED_VALUE"""),1053.0)</f>
        <v>1053</v>
      </c>
      <c r="I156" s="2" t="str">
        <f>IFERROR(__xludf.DUMMYFUNCTION("""COMPUTED_VALUE"""),"000308")</f>
        <v>000308</v>
      </c>
      <c r="J156" s="2" t="str">
        <f>IFERROR(__xludf.DUMMYFUNCTION("""COMPUTED_VALUE"""),"25-26")</f>
        <v>25-26</v>
      </c>
    </row>
    <row r="157">
      <c r="A157" s="2" t="str">
        <f>IFERROR(__xludf.DUMMYFUNCTION("""COMPUTED_VALUE"""),"4233857848")</f>
        <v>4233857848</v>
      </c>
      <c r="B157" s="2" t="str">
        <f>IFERROR(__xludf.DUMMYFUNCTION("""COMPUTED_VALUE"""),"Molloy")</f>
        <v>Molloy</v>
      </c>
      <c r="C157" s="2" t="str">
        <f>IFERROR(__xludf.DUMMYFUNCTION("""COMPUTED_VALUE"""),"Ava")</f>
        <v>Ava</v>
      </c>
      <c r="D157" s="4">
        <f>IFERROR(__xludf.DUMMYFUNCTION("""COMPUTED_VALUE"""),8.0)</f>
        <v>8</v>
      </c>
      <c r="E157" s="2" t="str">
        <f>IFERROR(__xludf.DUMMYFUNCTION("""COMPUTED_VALUE"""),"F")</f>
        <v>F</v>
      </c>
      <c r="F157" s="2" t="str">
        <f>IFERROR(__xludf.DUMMYFUNCTION("""COMPUTED_VALUE"""),"No, not Hispanic or Latino")</f>
        <v>No, not Hispanic or Latino</v>
      </c>
      <c r="G157" s="2" t="str">
        <f>IFERROR(__xludf.DUMMYFUNCTION("""COMPUTED_VALUE"""),"Samoan")</f>
        <v>Samoan</v>
      </c>
      <c r="H157" s="4">
        <f>IFERROR(__xludf.DUMMYFUNCTION("""COMPUTED_VALUE"""),1054.0)</f>
        <v>1054</v>
      </c>
      <c r="I157" s="2" t="str">
        <f>IFERROR(__xludf.DUMMYFUNCTION("""COMPUTED_VALUE"""),"000308")</f>
        <v>000308</v>
      </c>
      <c r="J157" s="2" t="str">
        <f>IFERROR(__xludf.DUMMYFUNCTION("""COMPUTED_VALUE"""),"25-26")</f>
        <v>25-26</v>
      </c>
    </row>
    <row r="158">
      <c r="A158" s="2" t="str">
        <f>IFERROR(__xludf.DUMMYFUNCTION("""COMPUTED_VALUE"""),"5223278867")</f>
        <v>5223278867</v>
      </c>
      <c r="B158" s="2" t="str">
        <f>IFERROR(__xludf.DUMMYFUNCTION("""COMPUTED_VALUE"""),"Mullen")</f>
        <v>Mullen</v>
      </c>
      <c r="C158" s="2" t="str">
        <f>IFERROR(__xludf.DUMMYFUNCTION("""COMPUTED_VALUE"""),"Callum")</f>
        <v>Callum</v>
      </c>
      <c r="D158" s="4">
        <f>IFERROR(__xludf.DUMMYFUNCTION("""COMPUTED_VALUE"""),8.0)</f>
        <v>8</v>
      </c>
      <c r="E158" s="2" t="str">
        <f>IFERROR(__xludf.DUMMYFUNCTION("""COMPUTED_VALUE"""),"M")</f>
        <v>M</v>
      </c>
      <c r="F158" s="2" t="str">
        <f>IFERROR(__xludf.DUMMYFUNCTION("""COMPUTED_VALUE"""),"No, not Hispanic or Latino")</f>
        <v>No, not Hispanic or Latino</v>
      </c>
      <c r="G158" s="2" t="str">
        <f>IFERROR(__xludf.DUMMYFUNCTION("""COMPUTED_VALUE"""),"White")</f>
        <v>White</v>
      </c>
      <c r="H158" s="4">
        <f>IFERROR(__xludf.DUMMYFUNCTION("""COMPUTED_VALUE"""),1053.0)</f>
        <v>1053</v>
      </c>
      <c r="I158" s="2" t="str">
        <f>IFERROR(__xludf.DUMMYFUNCTION("""COMPUTED_VALUE"""),"000308")</f>
        <v>000308</v>
      </c>
      <c r="J158" s="2" t="str">
        <f>IFERROR(__xludf.DUMMYFUNCTION("""COMPUTED_VALUE"""),"25-26")</f>
        <v>25-26</v>
      </c>
    </row>
    <row r="159">
      <c r="A159" s="2" t="str">
        <f>IFERROR(__xludf.DUMMYFUNCTION("""COMPUTED_VALUE"""),"5097068853")</f>
        <v>5097068853</v>
      </c>
      <c r="B159" s="2" t="str">
        <f>IFERROR(__xludf.DUMMYFUNCTION("""COMPUTED_VALUE"""),"Palomino")</f>
        <v>Palomino</v>
      </c>
      <c r="C159" s="2" t="str">
        <f>IFERROR(__xludf.DUMMYFUNCTION("""COMPUTED_VALUE"""),"Ava")</f>
        <v>Ava</v>
      </c>
      <c r="D159" s="4">
        <f>IFERROR(__xludf.DUMMYFUNCTION("""COMPUTED_VALUE"""),8.0)</f>
        <v>8</v>
      </c>
      <c r="E159" s="2" t="str">
        <f>IFERROR(__xludf.DUMMYFUNCTION("""COMPUTED_VALUE"""),"F")</f>
        <v>F</v>
      </c>
      <c r="F159" s="2" t="str">
        <f>IFERROR(__xludf.DUMMYFUNCTION("""COMPUTED_VALUE"""),"No, not Hispanic or Latino")</f>
        <v>No, not Hispanic or Latino</v>
      </c>
      <c r="G159" s="2" t="str">
        <f>IFERROR(__xludf.DUMMYFUNCTION("""COMPUTED_VALUE"""),"White")</f>
        <v>White</v>
      </c>
      <c r="H159" s="4">
        <f>IFERROR(__xludf.DUMMYFUNCTION("""COMPUTED_VALUE"""),1053.0)</f>
        <v>1053</v>
      </c>
      <c r="I159" s="2" t="str">
        <f>IFERROR(__xludf.DUMMYFUNCTION("""COMPUTED_VALUE"""),"000308")</f>
        <v>000308</v>
      </c>
      <c r="J159" s="2" t="str">
        <f>IFERROR(__xludf.DUMMYFUNCTION("""COMPUTED_VALUE"""),"25-26")</f>
        <v>25-26</v>
      </c>
    </row>
    <row r="160">
      <c r="A160" s="2" t="str">
        <f>IFERROR(__xludf.DUMMYFUNCTION("""COMPUTED_VALUE"""),"5686477402")</f>
        <v>5686477402</v>
      </c>
      <c r="B160" s="2" t="str">
        <f>IFERROR(__xludf.DUMMYFUNCTION("""COMPUTED_VALUE"""),"Purvis")</f>
        <v>Purvis</v>
      </c>
      <c r="C160" s="2" t="str">
        <f>IFERROR(__xludf.DUMMYFUNCTION("""COMPUTED_VALUE"""),"Charlie")</f>
        <v>Charlie</v>
      </c>
      <c r="D160" s="4">
        <f>IFERROR(__xludf.DUMMYFUNCTION("""COMPUTED_VALUE"""),8.0)</f>
        <v>8</v>
      </c>
      <c r="E160" s="2" t="str">
        <f>IFERROR(__xludf.DUMMYFUNCTION("""COMPUTED_VALUE"""),"M")</f>
        <v>M</v>
      </c>
      <c r="F160" s="2" t="str">
        <f>IFERROR(__xludf.DUMMYFUNCTION("""COMPUTED_VALUE"""),"No, not Hispanic or Latino")</f>
        <v>No, not Hispanic or Latino</v>
      </c>
      <c r="G160" s="2" t="str">
        <f>IFERROR(__xludf.DUMMYFUNCTION("""COMPUTED_VALUE"""),"White")</f>
        <v>White</v>
      </c>
      <c r="H160" s="4">
        <f>IFERROR(__xludf.DUMMYFUNCTION("""COMPUTED_VALUE"""),1053.0)</f>
        <v>1053</v>
      </c>
      <c r="I160" s="2" t="str">
        <f>IFERROR(__xludf.DUMMYFUNCTION("""COMPUTED_VALUE"""),"000308")</f>
        <v>000308</v>
      </c>
      <c r="J160" s="2" t="str">
        <f>IFERROR(__xludf.DUMMYFUNCTION("""COMPUTED_VALUE"""),"25-26")</f>
        <v>25-26</v>
      </c>
    </row>
    <row r="161">
      <c r="A161" s="2" t="str">
        <f>IFERROR(__xludf.DUMMYFUNCTION("""COMPUTED_VALUE"""),"5461090378")</f>
        <v>5461090378</v>
      </c>
      <c r="B161" s="2" t="str">
        <f>IFERROR(__xludf.DUMMYFUNCTION("""COMPUTED_VALUE"""),"Rajagopal")</f>
        <v>Rajagopal</v>
      </c>
      <c r="C161" s="2" t="str">
        <f>IFERROR(__xludf.DUMMYFUNCTION("""COMPUTED_VALUE"""),"Asha")</f>
        <v>Asha</v>
      </c>
      <c r="D161" s="4">
        <f>IFERROR(__xludf.DUMMYFUNCTION("""COMPUTED_VALUE"""),8.0)</f>
        <v>8</v>
      </c>
      <c r="E161" s="2" t="str">
        <f>IFERROR(__xludf.DUMMYFUNCTION("""COMPUTED_VALUE"""),"F")</f>
        <v>F</v>
      </c>
      <c r="F161" s="2" t="str">
        <f>IFERROR(__xludf.DUMMYFUNCTION("""COMPUTED_VALUE"""),"No, not Hispanic or Latino")</f>
        <v>No, not Hispanic or Latino</v>
      </c>
      <c r="G161" s="2" t="str">
        <f>IFERROR(__xludf.DUMMYFUNCTION("""COMPUTED_VALUE"""),"White")</f>
        <v>White</v>
      </c>
      <c r="H161" s="4">
        <f>IFERROR(__xludf.DUMMYFUNCTION("""COMPUTED_VALUE"""),1053.0)</f>
        <v>1053</v>
      </c>
      <c r="I161" s="2" t="str">
        <f>IFERROR(__xludf.DUMMYFUNCTION("""COMPUTED_VALUE"""),"000308")</f>
        <v>000308</v>
      </c>
      <c r="J161" s="2" t="str">
        <f>IFERROR(__xludf.DUMMYFUNCTION("""COMPUTED_VALUE"""),"25-26")</f>
        <v>25-26</v>
      </c>
    </row>
    <row r="162">
      <c r="A162" s="2" t="str">
        <f>IFERROR(__xludf.DUMMYFUNCTION("""COMPUTED_VALUE"""),"6057701403")</f>
        <v>6057701403</v>
      </c>
      <c r="B162" s="2" t="str">
        <f>IFERROR(__xludf.DUMMYFUNCTION("""COMPUTED_VALUE"""),"Schafer")</f>
        <v>Schafer</v>
      </c>
      <c r="C162" s="2" t="str">
        <f>IFERROR(__xludf.DUMMYFUNCTION("""COMPUTED_VALUE"""),"Mika")</f>
        <v>Mika</v>
      </c>
      <c r="D162" s="4">
        <f>IFERROR(__xludf.DUMMYFUNCTION("""COMPUTED_VALUE"""),8.0)</f>
        <v>8</v>
      </c>
      <c r="E162" s="2" t="str">
        <f>IFERROR(__xludf.DUMMYFUNCTION("""COMPUTED_VALUE"""),"F")</f>
        <v>F</v>
      </c>
      <c r="F162" s="2" t="str">
        <f>IFERROR(__xludf.DUMMYFUNCTION("""COMPUTED_VALUE"""),"No, not Hispanic or Latino")</f>
        <v>No, not Hispanic or Latino</v>
      </c>
      <c r="G162" s="2" t="str">
        <f>IFERROR(__xludf.DUMMYFUNCTION("""COMPUTED_VALUE"""),"Vietnamese")</f>
        <v>Vietnamese</v>
      </c>
      <c r="H162" s="4">
        <f>IFERROR(__xludf.DUMMYFUNCTION("""COMPUTED_VALUE"""),1053.0)</f>
        <v>1053</v>
      </c>
      <c r="I162" s="2" t="str">
        <f>IFERROR(__xludf.DUMMYFUNCTION("""COMPUTED_VALUE"""),"000308")</f>
        <v>000308</v>
      </c>
      <c r="J162" s="2" t="str">
        <f>IFERROR(__xludf.DUMMYFUNCTION("""COMPUTED_VALUE"""),"25-26")</f>
        <v>25-26</v>
      </c>
    </row>
    <row r="163">
      <c r="A163" s="2" t="str">
        <f>IFERROR(__xludf.DUMMYFUNCTION("""COMPUTED_VALUE"""),"2216471591")</f>
        <v>2216471591</v>
      </c>
      <c r="B163" s="2" t="str">
        <f>IFERROR(__xludf.DUMMYFUNCTION("""COMPUTED_VALUE"""),"Schmidt")</f>
        <v>Schmidt</v>
      </c>
      <c r="C163" s="2" t="str">
        <f>IFERROR(__xludf.DUMMYFUNCTION("""COMPUTED_VALUE"""),"Justin")</f>
        <v>Justin</v>
      </c>
      <c r="D163" s="4">
        <f>IFERROR(__xludf.DUMMYFUNCTION("""COMPUTED_VALUE"""),8.0)</f>
        <v>8</v>
      </c>
      <c r="E163" s="2" t="str">
        <f>IFERROR(__xludf.DUMMYFUNCTION("""COMPUTED_VALUE"""),"M")</f>
        <v>M</v>
      </c>
      <c r="F163" s="2" t="str">
        <f>IFERROR(__xludf.DUMMYFUNCTION("""COMPUTED_VALUE"""),"No, not Hispanic or Latino")</f>
        <v>No, not Hispanic or Latino</v>
      </c>
      <c r="G163" s="2" t="str">
        <f>IFERROR(__xludf.DUMMYFUNCTION("""COMPUTED_VALUE"""),"White")</f>
        <v>White</v>
      </c>
      <c r="H163" s="4">
        <f>IFERROR(__xludf.DUMMYFUNCTION("""COMPUTED_VALUE"""),1054.0)</f>
        <v>1054</v>
      </c>
      <c r="I163" s="2" t="str">
        <f>IFERROR(__xludf.DUMMYFUNCTION("""COMPUTED_VALUE"""),"000308")</f>
        <v>000308</v>
      </c>
      <c r="J163" s="2" t="str">
        <f>IFERROR(__xludf.DUMMYFUNCTION("""COMPUTED_VALUE"""),"25-26")</f>
        <v>25-26</v>
      </c>
    </row>
    <row r="164">
      <c r="A164" s="2" t="str">
        <f>IFERROR(__xludf.DUMMYFUNCTION("""COMPUTED_VALUE"""),"6537360745")</f>
        <v>6537360745</v>
      </c>
      <c r="B164" s="2" t="str">
        <f>IFERROR(__xludf.DUMMYFUNCTION("""COMPUTED_VALUE"""),"Sepan")</f>
        <v>Sepan</v>
      </c>
      <c r="C164" s="2" t="str">
        <f>IFERROR(__xludf.DUMMYFUNCTION("""COMPUTED_VALUE"""),"Seda")</f>
        <v>Seda</v>
      </c>
      <c r="D164" s="4">
        <f>IFERROR(__xludf.DUMMYFUNCTION("""COMPUTED_VALUE"""),8.0)</f>
        <v>8</v>
      </c>
      <c r="E164" s="2" t="str">
        <f>IFERROR(__xludf.DUMMYFUNCTION("""COMPUTED_VALUE"""),"F")</f>
        <v>F</v>
      </c>
      <c r="F164" s="2" t="str">
        <f>IFERROR(__xludf.DUMMYFUNCTION("""COMPUTED_VALUE"""),"No, not Hispanic or Latino")</f>
        <v>No, not Hispanic or Latino</v>
      </c>
      <c r="G164" s="2" t="str">
        <f>IFERROR(__xludf.DUMMYFUNCTION("""COMPUTED_VALUE"""),"White")</f>
        <v>White</v>
      </c>
      <c r="H164" s="4">
        <f>IFERROR(__xludf.DUMMYFUNCTION("""COMPUTED_VALUE"""),1054.0)</f>
        <v>1054</v>
      </c>
      <c r="I164" s="2" t="str">
        <f>IFERROR(__xludf.DUMMYFUNCTION("""COMPUTED_VALUE"""),"000308")</f>
        <v>000308</v>
      </c>
      <c r="J164" s="2" t="str">
        <f>IFERROR(__xludf.DUMMYFUNCTION("""COMPUTED_VALUE"""),"25-26")</f>
        <v>25-26</v>
      </c>
    </row>
    <row r="165">
      <c r="A165" s="2" t="str">
        <f>IFERROR(__xludf.DUMMYFUNCTION("""COMPUTED_VALUE"""),"6774093887")</f>
        <v>6774093887</v>
      </c>
      <c r="B165" s="2" t="str">
        <f>IFERROR(__xludf.DUMMYFUNCTION("""COMPUTED_VALUE"""),"Sims")</f>
        <v>Sims</v>
      </c>
      <c r="C165" s="2" t="str">
        <f>IFERROR(__xludf.DUMMYFUNCTION("""COMPUTED_VALUE"""),"Cole")</f>
        <v>Cole</v>
      </c>
      <c r="D165" s="4">
        <f>IFERROR(__xludf.DUMMYFUNCTION("""COMPUTED_VALUE"""),8.0)</f>
        <v>8</v>
      </c>
      <c r="E165" s="2" t="str">
        <f>IFERROR(__xludf.DUMMYFUNCTION("""COMPUTED_VALUE"""),"M")</f>
        <v>M</v>
      </c>
      <c r="F165" s="2" t="str">
        <f>IFERROR(__xludf.DUMMYFUNCTION("""COMPUTED_VALUE"""),"No, not Hispanic or Latino")</f>
        <v>No, not Hispanic or Latino</v>
      </c>
      <c r="G165" s="2" t="str">
        <f>IFERROR(__xludf.DUMMYFUNCTION("""COMPUTED_VALUE"""),"White")</f>
        <v>White</v>
      </c>
      <c r="H165" s="4">
        <f>IFERROR(__xludf.DUMMYFUNCTION("""COMPUTED_VALUE"""),1053.0)</f>
        <v>1053</v>
      </c>
      <c r="I165" s="2" t="str">
        <f>IFERROR(__xludf.DUMMYFUNCTION("""COMPUTED_VALUE"""),"000308")</f>
        <v>000308</v>
      </c>
      <c r="J165" s="2" t="str">
        <f>IFERROR(__xludf.DUMMYFUNCTION("""COMPUTED_VALUE"""),"25-26")</f>
        <v>25-26</v>
      </c>
    </row>
    <row r="166">
      <c r="A166" s="2" t="str">
        <f>IFERROR(__xludf.DUMMYFUNCTION("""COMPUTED_VALUE"""),"9311910884")</f>
        <v>9311910884</v>
      </c>
      <c r="B166" s="2" t="str">
        <f>IFERROR(__xludf.DUMMYFUNCTION("""COMPUTED_VALUE"""),"Stein")</f>
        <v>Stein</v>
      </c>
      <c r="C166" s="2" t="str">
        <f>IFERROR(__xludf.DUMMYFUNCTION("""COMPUTED_VALUE"""),"Gabe")</f>
        <v>Gabe</v>
      </c>
      <c r="D166" s="4">
        <f>IFERROR(__xludf.DUMMYFUNCTION("""COMPUTED_VALUE"""),8.0)</f>
        <v>8</v>
      </c>
      <c r="E166" s="2" t="str">
        <f>IFERROR(__xludf.DUMMYFUNCTION("""COMPUTED_VALUE"""),"M")</f>
        <v>M</v>
      </c>
      <c r="F166" s="2" t="str">
        <f>IFERROR(__xludf.DUMMYFUNCTION("""COMPUTED_VALUE"""),"No, not Hispanic or Latino")</f>
        <v>No, not Hispanic or Latino</v>
      </c>
      <c r="G166" s="2" t="str">
        <f>IFERROR(__xludf.DUMMYFUNCTION("""COMPUTED_VALUE"""),"Vietnamese")</f>
        <v>Vietnamese</v>
      </c>
      <c r="H166" s="4">
        <f>IFERROR(__xludf.DUMMYFUNCTION("""COMPUTED_VALUE"""),1054.0)</f>
        <v>1054</v>
      </c>
      <c r="I166" s="2" t="str">
        <f>IFERROR(__xludf.DUMMYFUNCTION("""COMPUTED_VALUE"""),"000308")</f>
        <v>000308</v>
      </c>
      <c r="J166" s="2" t="str">
        <f>IFERROR(__xludf.DUMMYFUNCTION("""COMPUTED_VALUE"""),"25-26")</f>
        <v>25-26</v>
      </c>
    </row>
    <row r="167">
      <c r="A167" s="2" t="str">
        <f>IFERROR(__xludf.DUMMYFUNCTION("""COMPUTED_VALUE"""),"6359416637")</f>
        <v>6359416637</v>
      </c>
      <c r="B167" s="2" t="str">
        <f>IFERROR(__xludf.DUMMYFUNCTION("""COMPUTED_VALUE"""),"Stern")</f>
        <v>Stern</v>
      </c>
      <c r="C167" s="2" t="str">
        <f>IFERROR(__xludf.DUMMYFUNCTION("""COMPUTED_VALUE"""),"Aaron")</f>
        <v>Aaron</v>
      </c>
      <c r="D167" s="4">
        <f>IFERROR(__xludf.DUMMYFUNCTION("""COMPUTED_VALUE"""),8.0)</f>
        <v>8</v>
      </c>
      <c r="E167" s="2" t="str">
        <f>IFERROR(__xludf.DUMMYFUNCTION("""COMPUTED_VALUE"""),"M")</f>
        <v>M</v>
      </c>
      <c r="F167" s="2" t="str">
        <f>IFERROR(__xludf.DUMMYFUNCTION("""COMPUTED_VALUE"""),"No, not Hispanic or Latino")</f>
        <v>No, not Hispanic or Latino</v>
      </c>
      <c r="G167" s="2" t="str">
        <f>IFERROR(__xludf.DUMMYFUNCTION("""COMPUTED_VALUE"""),"White")</f>
        <v>White</v>
      </c>
      <c r="H167" s="4">
        <f>IFERROR(__xludf.DUMMYFUNCTION("""COMPUTED_VALUE"""),1054.0)</f>
        <v>1054</v>
      </c>
      <c r="I167" s="2" t="str">
        <f>IFERROR(__xludf.DUMMYFUNCTION("""COMPUTED_VALUE"""),"000308")</f>
        <v>000308</v>
      </c>
      <c r="J167" s="2" t="str">
        <f>IFERROR(__xludf.DUMMYFUNCTION("""COMPUTED_VALUE"""),"25-26")</f>
        <v>25-26</v>
      </c>
    </row>
    <row r="168">
      <c r="A168" s="2" t="str">
        <f>IFERROR(__xludf.DUMMYFUNCTION("""COMPUTED_VALUE"""),"7192429953")</f>
        <v>7192429953</v>
      </c>
      <c r="B168" s="2" t="str">
        <f>IFERROR(__xludf.DUMMYFUNCTION("""COMPUTED_VALUE"""),"Vail")</f>
        <v>Vail</v>
      </c>
      <c r="C168" s="2" t="str">
        <f>IFERROR(__xludf.DUMMYFUNCTION("""COMPUTED_VALUE"""),"Adelaide")</f>
        <v>Adelaide</v>
      </c>
      <c r="D168" s="4">
        <f>IFERROR(__xludf.DUMMYFUNCTION("""COMPUTED_VALUE"""),8.0)</f>
        <v>8</v>
      </c>
      <c r="E168" s="2" t="str">
        <f>IFERROR(__xludf.DUMMYFUNCTION("""COMPUTED_VALUE"""),"F")</f>
        <v>F</v>
      </c>
      <c r="F168" s="2" t="str">
        <f>IFERROR(__xludf.DUMMYFUNCTION("""COMPUTED_VALUE"""),"No, not Hispanic or Latino")</f>
        <v>No, not Hispanic or Latino</v>
      </c>
      <c r="G168" s="2" t="str">
        <f>IFERROR(__xludf.DUMMYFUNCTION("""COMPUTED_VALUE"""),"White")</f>
        <v>White</v>
      </c>
      <c r="H168" s="4">
        <f>IFERROR(__xludf.DUMMYFUNCTION("""COMPUTED_VALUE"""),1053.0)</f>
        <v>1053</v>
      </c>
      <c r="I168" s="2" t="str">
        <f>IFERROR(__xludf.DUMMYFUNCTION("""COMPUTED_VALUE"""),"000308")</f>
        <v>000308</v>
      </c>
      <c r="J168" s="2" t="str">
        <f>IFERROR(__xludf.DUMMYFUNCTION("""COMPUTED_VALUE"""),"25-26")</f>
        <v>25-26</v>
      </c>
    </row>
    <row r="169">
      <c r="A169" s="2" t="str">
        <f>IFERROR(__xludf.DUMMYFUNCTION("""COMPUTED_VALUE"""),"7136618951")</f>
        <v>7136618951</v>
      </c>
      <c r="B169" s="2" t="str">
        <f>IFERROR(__xludf.DUMMYFUNCTION("""COMPUTED_VALUE"""),"Wallace")</f>
        <v>Wallace</v>
      </c>
      <c r="C169" s="2" t="str">
        <f>IFERROR(__xludf.DUMMYFUNCTION("""COMPUTED_VALUE"""),"Johannah")</f>
        <v>Johannah</v>
      </c>
      <c r="D169" s="4">
        <f>IFERROR(__xludf.DUMMYFUNCTION("""COMPUTED_VALUE"""),8.0)</f>
        <v>8</v>
      </c>
      <c r="E169" s="2" t="str">
        <f>IFERROR(__xludf.DUMMYFUNCTION("""COMPUTED_VALUE"""),"F")</f>
        <v>F</v>
      </c>
      <c r="F169" s="2" t="str">
        <f>IFERROR(__xludf.DUMMYFUNCTION("""COMPUTED_VALUE"""),"No, not Hispanic or Latino")</f>
        <v>No, not Hispanic or Latino</v>
      </c>
      <c r="G169" s="2" t="str">
        <f>IFERROR(__xludf.DUMMYFUNCTION("""COMPUTED_VALUE"""),"White")</f>
        <v>White</v>
      </c>
      <c r="H169" s="4">
        <f>IFERROR(__xludf.DUMMYFUNCTION("""COMPUTED_VALUE"""),1053.0)</f>
        <v>1053</v>
      </c>
      <c r="I169" s="2" t="str">
        <f>IFERROR(__xludf.DUMMYFUNCTION("""COMPUTED_VALUE"""),"000308")</f>
        <v>000308</v>
      </c>
      <c r="J169" s="2" t="str">
        <f>IFERROR(__xludf.DUMMYFUNCTION("""COMPUTED_VALUE"""),"25-26")</f>
        <v>25-26</v>
      </c>
    </row>
    <row r="170">
      <c r="A170" s="2" t="str">
        <f>IFERROR(__xludf.DUMMYFUNCTION("""COMPUTED_VALUE"""),"5253237360")</f>
        <v>5253237360</v>
      </c>
      <c r="B170" s="2" t="str">
        <f>IFERROR(__xludf.DUMMYFUNCTION("""COMPUTED_VALUE"""),"Walsh")</f>
        <v>Walsh</v>
      </c>
      <c r="C170" s="2" t="str">
        <f>IFERROR(__xludf.DUMMYFUNCTION("""COMPUTED_VALUE"""),"Patrick")</f>
        <v>Patrick</v>
      </c>
      <c r="D170" s="4">
        <f>IFERROR(__xludf.DUMMYFUNCTION("""COMPUTED_VALUE"""),8.0)</f>
        <v>8</v>
      </c>
      <c r="E170" s="2" t="str">
        <f>IFERROR(__xludf.DUMMYFUNCTION("""COMPUTED_VALUE"""),"M")</f>
        <v>M</v>
      </c>
      <c r="F170" s="2" t="str">
        <f>IFERROR(__xludf.DUMMYFUNCTION("""COMPUTED_VALUE"""),"No, not Hispanic or Latino")</f>
        <v>No, not Hispanic or Latino</v>
      </c>
      <c r="G170" s="2" t="str">
        <f>IFERROR(__xludf.DUMMYFUNCTION("""COMPUTED_VALUE"""),"White")</f>
        <v>White</v>
      </c>
      <c r="H170" s="4">
        <f>IFERROR(__xludf.DUMMYFUNCTION("""COMPUTED_VALUE"""),1054.0)</f>
        <v>1054</v>
      </c>
      <c r="I170" s="2" t="str">
        <f>IFERROR(__xludf.DUMMYFUNCTION("""COMPUTED_VALUE"""),"000308")</f>
        <v>000308</v>
      </c>
      <c r="J170" s="2" t="str">
        <f>IFERROR(__xludf.DUMMYFUNCTION("""COMPUTED_VALUE"""),"25-26")</f>
        <v>25-26</v>
      </c>
    </row>
    <row r="171">
      <c r="A171" s="2" t="str">
        <f>IFERROR(__xludf.DUMMYFUNCTION("""COMPUTED_VALUE"""),"6755663698")</f>
        <v>6755663698</v>
      </c>
      <c r="B171" s="2" t="str">
        <f>IFERROR(__xludf.DUMMYFUNCTION("""COMPUTED_VALUE"""),"Whitney")</f>
        <v>Whitney</v>
      </c>
      <c r="C171" s="2" t="str">
        <f>IFERROR(__xludf.DUMMYFUNCTION("""COMPUTED_VALUE"""),"Patrick")</f>
        <v>Patrick</v>
      </c>
      <c r="D171" s="4">
        <f>IFERROR(__xludf.DUMMYFUNCTION("""COMPUTED_VALUE"""),8.0)</f>
        <v>8</v>
      </c>
      <c r="E171" s="2" t="str">
        <f>IFERROR(__xludf.DUMMYFUNCTION("""COMPUTED_VALUE"""),"M")</f>
        <v>M</v>
      </c>
      <c r="F171" s="2" t="str">
        <f>IFERROR(__xludf.DUMMYFUNCTION("""COMPUTED_VALUE"""),"No, not Hispanic or Latino")</f>
        <v>No, not Hispanic or Latino</v>
      </c>
      <c r="G171" s="2" t="str">
        <f>IFERROR(__xludf.DUMMYFUNCTION("""COMPUTED_VALUE"""),"White")</f>
        <v>White</v>
      </c>
      <c r="H171" s="4">
        <f>IFERROR(__xludf.DUMMYFUNCTION("""COMPUTED_VALUE"""),1053.0)</f>
        <v>1053</v>
      </c>
      <c r="I171" s="2" t="str">
        <f>IFERROR(__xludf.DUMMYFUNCTION("""COMPUTED_VALUE"""),"000308")</f>
        <v>000308</v>
      </c>
      <c r="J171" s="2" t="str">
        <f>IFERROR(__xludf.DUMMYFUNCTION("""COMPUTED_VALUE"""),"25-26")</f>
        <v>25-26</v>
      </c>
    </row>
    <row r="172">
      <c r="A172" s="2" t="str">
        <f>IFERROR(__xludf.DUMMYFUNCTION("""COMPUTED_VALUE"""),"9051069126")</f>
        <v>9051069126</v>
      </c>
      <c r="B172" s="2" t="str">
        <f>IFERROR(__xludf.DUMMYFUNCTION("""COMPUTED_VALUE"""),"Yu")</f>
        <v>Yu</v>
      </c>
      <c r="C172" s="2" t="str">
        <f>IFERROR(__xludf.DUMMYFUNCTION("""COMPUTED_VALUE"""),"Nicholas")</f>
        <v>Nicholas</v>
      </c>
      <c r="D172" s="4">
        <f>IFERROR(__xludf.DUMMYFUNCTION("""COMPUTED_VALUE"""),8.0)</f>
        <v>8</v>
      </c>
      <c r="E172" s="2" t="str">
        <f>IFERROR(__xludf.DUMMYFUNCTION("""COMPUTED_VALUE"""),"M")</f>
        <v>M</v>
      </c>
      <c r="F172" s="2" t="str">
        <f>IFERROR(__xludf.DUMMYFUNCTION("""COMPUTED_VALUE"""),"No, not Hispanic or Latino")</f>
        <v>No, not Hispanic or Latino</v>
      </c>
      <c r="G172" s="2" t="str">
        <f>IFERROR(__xludf.DUMMYFUNCTION("""COMPUTED_VALUE"""),"Chinese")</f>
        <v>Chinese</v>
      </c>
      <c r="H172" s="4">
        <f>IFERROR(__xludf.DUMMYFUNCTION("""COMPUTED_VALUE"""),1053.0)</f>
        <v>1053</v>
      </c>
      <c r="I172" s="2" t="str">
        <f>IFERROR(__xludf.DUMMYFUNCTION("""COMPUTED_VALUE"""),"000308")</f>
        <v>000308</v>
      </c>
      <c r="J172" s="2" t="str">
        <f>IFERROR(__xludf.DUMMYFUNCTION("""COMPUTED_VALUE"""),"25-26")</f>
        <v>25-26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sheetData>
    <row r="1" ht="22.5" customHeight="1">
      <c r="A1" s="5" t="s">
        <v>0</v>
      </c>
      <c r="B1" s="5" t="s">
        <v>1</v>
      </c>
      <c r="C1" s="5" t="s">
        <v>2</v>
      </c>
      <c r="D1" s="6" t="s">
        <v>3</v>
      </c>
      <c r="E1" s="7" t="s">
        <v>4</v>
      </c>
      <c r="F1" s="5" t="s">
        <v>5</v>
      </c>
      <c r="G1" s="5" t="s">
        <v>6</v>
      </c>
      <c r="H1" s="6" t="s">
        <v>7</v>
      </c>
      <c r="I1" s="5" t="s">
        <v>8</v>
      </c>
      <c r="J1" s="8" t="s">
        <v>9</v>
      </c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ht="22.5" customHeight="1">
      <c r="A2" s="10" t="s">
        <v>10</v>
      </c>
      <c r="B2" s="11" t="s">
        <v>11</v>
      </c>
      <c r="C2" s="11" t="s">
        <v>12</v>
      </c>
      <c r="D2" s="12">
        <v>8.0</v>
      </c>
      <c r="E2" s="13" t="s">
        <v>13</v>
      </c>
      <c r="F2" s="11" t="s">
        <v>14</v>
      </c>
      <c r="G2" s="11" t="s">
        <v>15</v>
      </c>
      <c r="H2" s="12">
        <v>1030.0</v>
      </c>
      <c r="I2" s="14" t="s">
        <v>16</v>
      </c>
      <c r="J2" s="15" t="s">
        <v>17</v>
      </c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ht="22.5" customHeight="1">
      <c r="A3" s="16" t="s">
        <v>18</v>
      </c>
      <c r="B3" s="17" t="s">
        <v>19</v>
      </c>
      <c r="C3" s="17" t="s">
        <v>20</v>
      </c>
      <c r="D3" s="18">
        <v>8.0</v>
      </c>
      <c r="E3" s="19" t="s">
        <v>13</v>
      </c>
      <c r="F3" s="17" t="s">
        <v>21</v>
      </c>
      <c r="G3" s="17" t="s">
        <v>15</v>
      </c>
      <c r="H3" s="18">
        <v>1030.0</v>
      </c>
      <c r="I3" s="20" t="s">
        <v>16</v>
      </c>
      <c r="J3" s="15" t="s">
        <v>17</v>
      </c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22.5" customHeight="1">
      <c r="A4" s="10" t="s">
        <v>22</v>
      </c>
      <c r="B4" s="11" t="s">
        <v>23</v>
      </c>
      <c r="C4" s="11" t="s">
        <v>24</v>
      </c>
      <c r="D4" s="12">
        <v>8.0</v>
      </c>
      <c r="E4" s="21" t="s">
        <v>25</v>
      </c>
      <c r="F4" s="11" t="s">
        <v>21</v>
      </c>
      <c r="G4" s="11" t="s">
        <v>15</v>
      </c>
      <c r="H4" s="12">
        <v>1030.0</v>
      </c>
      <c r="I4" s="14" t="s">
        <v>16</v>
      </c>
      <c r="J4" s="15" t="s">
        <v>17</v>
      </c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ht="22.5" customHeight="1">
      <c r="A5" s="16" t="s">
        <v>26</v>
      </c>
      <c r="B5" s="17" t="s">
        <v>27</v>
      </c>
      <c r="C5" s="17" t="s">
        <v>28</v>
      </c>
      <c r="D5" s="18">
        <v>8.0</v>
      </c>
      <c r="E5" s="19" t="s">
        <v>13</v>
      </c>
      <c r="F5" s="17" t="s">
        <v>21</v>
      </c>
      <c r="G5" s="17" t="s">
        <v>29</v>
      </c>
      <c r="H5" s="18">
        <v>1031.0</v>
      </c>
      <c r="I5" s="20" t="s">
        <v>16</v>
      </c>
      <c r="J5" s="15" t="s">
        <v>17</v>
      </c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ht="22.5" customHeight="1">
      <c r="A6" s="10" t="s">
        <v>30</v>
      </c>
      <c r="B6" s="11" t="s">
        <v>31</v>
      </c>
      <c r="C6" s="11" t="s">
        <v>32</v>
      </c>
      <c r="D6" s="12">
        <v>8.0</v>
      </c>
      <c r="E6" s="13" t="s">
        <v>13</v>
      </c>
      <c r="F6" s="11" t="s">
        <v>21</v>
      </c>
      <c r="G6" s="11" t="s">
        <v>15</v>
      </c>
      <c r="H6" s="12">
        <v>1030.0</v>
      </c>
      <c r="I6" s="14" t="s">
        <v>16</v>
      </c>
      <c r="J6" s="15" t="s">
        <v>17</v>
      </c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ht="22.5" customHeight="1">
      <c r="A7" s="16" t="s">
        <v>33</v>
      </c>
      <c r="B7" s="17" t="s">
        <v>34</v>
      </c>
      <c r="C7" s="17" t="s">
        <v>35</v>
      </c>
      <c r="D7" s="18">
        <v>8.0</v>
      </c>
      <c r="E7" s="22" t="s">
        <v>25</v>
      </c>
      <c r="F7" s="17" t="s">
        <v>21</v>
      </c>
      <c r="G7" s="17" t="s">
        <v>15</v>
      </c>
      <c r="H7" s="18">
        <v>1031.0</v>
      </c>
      <c r="I7" s="20" t="s">
        <v>16</v>
      </c>
      <c r="J7" s="15" t="s">
        <v>17</v>
      </c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ht="22.5" customHeight="1">
      <c r="A8" s="10" t="s">
        <v>36</v>
      </c>
      <c r="B8" s="11" t="s">
        <v>37</v>
      </c>
      <c r="C8" s="11" t="s">
        <v>38</v>
      </c>
      <c r="D8" s="12">
        <v>8.0</v>
      </c>
      <c r="E8" s="21" t="s">
        <v>25</v>
      </c>
      <c r="F8" s="11" t="s">
        <v>21</v>
      </c>
      <c r="G8" s="11" t="s">
        <v>39</v>
      </c>
      <c r="H8" s="12">
        <v>1030.0</v>
      </c>
      <c r="I8" s="14" t="s">
        <v>16</v>
      </c>
      <c r="J8" s="15" t="s">
        <v>17</v>
      </c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ht="22.5" customHeight="1">
      <c r="A9" s="16" t="s">
        <v>40</v>
      </c>
      <c r="B9" s="17" t="s">
        <v>41</v>
      </c>
      <c r="C9" s="17" t="s">
        <v>42</v>
      </c>
      <c r="D9" s="18">
        <v>8.0</v>
      </c>
      <c r="E9" s="19" t="s">
        <v>13</v>
      </c>
      <c r="F9" s="17" t="s">
        <v>21</v>
      </c>
      <c r="G9" s="17" t="s">
        <v>15</v>
      </c>
      <c r="H9" s="18">
        <v>1031.0</v>
      </c>
      <c r="I9" s="20" t="s">
        <v>16</v>
      </c>
      <c r="J9" s="15" t="s">
        <v>17</v>
      </c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22.5" customHeight="1">
      <c r="A10" s="10" t="s">
        <v>43</v>
      </c>
      <c r="B10" s="11" t="s">
        <v>44</v>
      </c>
      <c r="C10" s="11" t="s">
        <v>45</v>
      </c>
      <c r="D10" s="12">
        <v>8.0</v>
      </c>
      <c r="E10" s="21" t="s">
        <v>25</v>
      </c>
      <c r="F10" s="11" t="s">
        <v>21</v>
      </c>
      <c r="G10" s="11" t="s">
        <v>15</v>
      </c>
      <c r="H10" s="12">
        <v>1031.0</v>
      </c>
      <c r="I10" s="14" t="s">
        <v>16</v>
      </c>
      <c r="J10" s="15" t="s">
        <v>17</v>
      </c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22.5" customHeight="1">
      <c r="A11" s="16" t="s">
        <v>46</v>
      </c>
      <c r="B11" s="17" t="s">
        <v>47</v>
      </c>
      <c r="C11" s="17" t="s">
        <v>12</v>
      </c>
      <c r="D11" s="18">
        <v>8.0</v>
      </c>
      <c r="E11" s="19" t="s">
        <v>13</v>
      </c>
      <c r="F11" s="17" t="s">
        <v>21</v>
      </c>
      <c r="G11" s="17" t="s">
        <v>15</v>
      </c>
      <c r="H11" s="18">
        <v>1030.0</v>
      </c>
      <c r="I11" s="20" t="s">
        <v>16</v>
      </c>
      <c r="J11" s="15" t="s">
        <v>17</v>
      </c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22.5" customHeight="1">
      <c r="A12" s="10" t="s">
        <v>48</v>
      </c>
      <c r="B12" s="11" t="s">
        <v>49</v>
      </c>
      <c r="C12" s="11" t="s">
        <v>50</v>
      </c>
      <c r="D12" s="12">
        <v>8.0</v>
      </c>
      <c r="E12" s="13" t="s">
        <v>13</v>
      </c>
      <c r="F12" s="11" t="s">
        <v>21</v>
      </c>
      <c r="G12" s="11" t="s">
        <v>51</v>
      </c>
      <c r="H12" s="12">
        <v>1030.0</v>
      </c>
      <c r="I12" s="14" t="s">
        <v>16</v>
      </c>
      <c r="J12" s="15" t="s">
        <v>17</v>
      </c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22.5" customHeight="1">
      <c r="A13" s="16" t="s">
        <v>52</v>
      </c>
      <c r="B13" s="17" t="s">
        <v>53</v>
      </c>
      <c r="C13" s="17" t="s">
        <v>54</v>
      </c>
      <c r="D13" s="18">
        <v>8.0</v>
      </c>
      <c r="E13" s="22" t="s">
        <v>25</v>
      </c>
      <c r="F13" s="17" t="s">
        <v>21</v>
      </c>
      <c r="G13" s="17" t="s">
        <v>29</v>
      </c>
      <c r="H13" s="18">
        <v>1030.0</v>
      </c>
      <c r="I13" s="20" t="s">
        <v>16</v>
      </c>
      <c r="J13" s="15" t="s">
        <v>17</v>
      </c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22.5" customHeight="1">
      <c r="A14" s="10" t="s">
        <v>55</v>
      </c>
      <c r="B14" s="11" t="s">
        <v>56</v>
      </c>
      <c r="C14" s="11" t="s">
        <v>57</v>
      </c>
      <c r="D14" s="12">
        <v>8.0</v>
      </c>
      <c r="E14" s="13" t="s">
        <v>13</v>
      </c>
      <c r="F14" s="11" t="s">
        <v>21</v>
      </c>
      <c r="G14" s="11" t="s">
        <v>51</v>
      </c>
      <c r="H14" s="12">
        <v>1031.0</v>
      </c>
      <c r="I14" s="14" t="s">
        <v>16</v>
      </c>
      <c r="J14" s="15" t="s">
        <v>17</v>
      </c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22.5" customHeight="1">
      <c r="A15" s="16" t="s">
        <v>58</v>
      </c>
      <c r="B15" s="17" t="s">
        <v>59</v>
      </c>
      <c r="C15" s="17" t="s">
        <v>60</v>
      </c>
      <c r="D15" s="18">
        <v>8.0</v>
      </c>
      <c r="E15" s="22" t="s">
        <v>25</v>
      </c>
      <c r="F15" s="17" t="s">
        <v>21</v>
      </c>
      <c r="G15" s="17" t="s">
        <v>15</v>
      </c>
      <c r="H15" s="18">
        <v>1031.0</v>
      </c>
      <c r="I15" s="20" t="s">
        <v>16</v>
      </c>
      <c r="J15" s="15" t="s">
        <v>17</v>
      </c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ht="22.5" customHeight="1">
      <c r="A16" s="10" t="s">
        <v>61</v>
      </c>
      <c r="B16" s="11" t="s">
        <v>62</v>
      </c>
      <c r="C16" s="11" t="s">
        <v>63</v>
      </c>
      <c r="D16" s="12">
        <v>8.0</v>
      </c>
      <c r="E16" s="13" t="s">
        <v>13</v>
      </c>
      <c r="F16" s="11" t="s">
        <v>21</v>
      </c>
      <c r="G16" s="11" t="s">
        <v>15</v>
      </c>
      <c r="H16" s="12">
        <v>1030.0</v>
      </c>
      <c r="I16" s="14" t="s">
        <v>16</v>
      </c>
      <c r="J16" s="15" t="s">
        <v>17</v>
      </c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22.5" customHeight="1">
      <c r="A17" s="16" t="s">
        <v>64</v>
      </c>
      <c r="B17" s="17" t="s">
        <v>65</v>
      </c>
      <c r="C17" s="17" t="s">
        <v>66</v>
      </c>
      <c r="D17" s="18">
        <v>8.0</v>
      </c>
      <c r="E17" s="19" t="s">
        <v>13</v>
      </c>
      <c r="F17" s="17" t="s">
        <v>21</v>
      </c>
      <c r="G17" s="17" t="s">
        <v>15</v>
      </c>
      <c r="H17" s="18">
        <v>1031.0</v>
      </c>
      <c r="I17" s="20" t="s">
        <v>16</v>
      </c>
      <c r="J17" s="15" t="s">
        <v>17</v>
      </c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22.5" customHeight="1">
      <c r="A18" s="10" t="s">
        <v>67</v>
      </c>
      <c r="B18" s="11" t="s">
        <v>68</v>
      </c>
      <c r="C18" s="11" t="s">
        <v>69</v>
      </c>
      <c r="D18" s="12">
        <v>8.0</v>
      </c>
      <c r="E18" s="21" t="s">
        <v>25</v>
      </c>
      <c r="F18" s="11" t="s">
        <v>21</v>
      </c>
      <c r="G18" s="11" t="s">
        <v>70</v>
      </c>
      <c r="H18" s="12">
        <v>1031.0</v>
      </c>
      <c r="I18" s="14" t="s">
        <v>16</v>
      </c>
      <c r="J18" s="15" t="s">
        <v>17</v>
      </c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22.5" customHeight="1">
      <c r="A19" s="16" t="s">
        <v>71</v>
      </c>
      <c r="B19" s="17" t="s">
        <v>72</v>
      </c>
      <c r="C19" s="17" t="s">
        <v>73</v>
      </c>
      <c r="D19" s="18">
        <v>8.0</v>
      </c>
      <c r="E19" s="22" t="s">
        <v>25</v>
      </c>
      <c r="F19" s="17" t="s">
        <v>21</v>
      </c>
      <c r="G19" s="17" t="s">
        <v>39</v>
      </c>
      <c r="H19" s="18">
        <v>1030.0</v>
      </c>
      <c r="I19" s="20" t="s">
        <v>16</v>
      </c>
      <c r="J19" s="15" t="s">
        <v>17</v>
      </c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2.5" customHeight="1">
      <c r="A20" s="10" t="s">
        <v>74</v>
      </c>
      <c r="B20" s="11" t="s">
        <v>75</v>
      </c>
      <c r="C20" s="11" t="s">
        <v>76</v>
      </c>
      <c r="D20" s="12">
        <v>8.0</v>
      </c>
      <c r="E20" s="13" t="s">
        <v>13</v>
      </c>
      <c r="F20" s="11" t="s">
        <v>21</v>
      </c>
      <c r="G20" s="11" t="s">
        <v>15</v>
      </c>
      <c r="H20" s="12">
        <v>1030.0</v>
      </c>
      <c r="I20" s="14" t="s">
        <v>16</v>
      </c>
      <c r="J20" s="15" t="s">
        <v>17</v>
      </c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22.5" customHeight="1">
      <c r="A21" s="16" t="s">
        <v>77</v>
      </c>
      <c r="B21" s="17" t="s">
        <v>78</v>
      </c>
      <c r="C21" s="17" t="s">
        <v>79</v>
      </c>
      <c r="D21" s="18">
        <v>8.0</v>
      </c>
      <c r="E21" s="19" t="s">
        <v>13</v>
      </c>
      <c r="F21" s="17" t="s">
        <v>21</v>
      </c>
      <c r="G21" s="17" t="s">
        <v>15</v>
      </c>
      <c r="H21" s="18">
        <v>1030.0</v>
      </c>
      <c r="I21" s="20" t="s">
        <v>16</v>
      </c>
      <c r="J21" s="15" t="s">
        <v>17</v>
      </c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22.5" customHeight="1">
      <c r="A22" s="10" t="s">
        <v>80</v>
      </c>
      <c r="B22" s="11" t="s">
        <v>81</v>
      </c>
      <c r="C22" s="11" t="s">
        <v>82</v>
      </c>
      <c r="D22" s="12">
        <v>8.0</v>
      </c>
      <c r="E22" s="13" t="s">
        <v>13</v>
      </c>
      <c r="F22" s="11" t="s">
        <v>21</v>
      </c>
      <c r="G22" s="11" t="s">
        <v>15</v>
      </c>
      <c r="H22" s="12">
        <v>1031.0</v>
      </c>
      <c r="I22" s="14" t="s">
        <v>16</v>
      </c>
      <c r="J22" s="15" t="s">
        <v>17</v>
      </c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22.5" customHeight="1">
      <c r="A23" s="16" t="s">
        <v>83</v>
      </c>
      <c r="B23" s="17" t="s">
        <v>84</v>
      </c>
      <c r="C23" s="17" t="s">
        <v>85</v>
      </c>
      <c r="D23" s="18">
        <v>8.0</v>
      </c>
      <c r="E23" s="19" t="s">
        <v>13</v>
      </c>
      <c r="F23" s="17" t="s">
        <v>21</v>
      </c>
      <c r="G23" s="17" t="s">
        <v>15</v>
      </c>
      <c r="H23" s="18">
        <v>1030.0</v>
      </c>
      <c r="I23" s="20" t="s">
        <v>16</v>
      </c>
      <c r="J23" s="15" t="s">
        <v>17</v>
      </c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22.5" customHeight="1">
      <c r="A24" s="10" t="s">
        <v>86</v>
      </c>
      <c r="B24" s="11" t="s">
        <v>87</v>
      </c>
      <c r="C24" s="11" t="s">
        <v>88</v>
      </c>
      <c r="D24" s="12">
        <v>8.0</v>
      </c>
      <c r="E24" s="13" t="s">
        <v>13</v>
      </c>
      <c r="F24" s="11" t="s">
        <v>14</v>
      </c>
      <c r="G24" s="11" t="s">
        <v>15</v>
      </c>
      <c r="H24" s="12">
        <v>1031.0</v>
      </c>
      <c r="I24" s="14" t="s">
        <v>16</v>
      </c>
      <c r="J24" s="15" t="s">
        <v>17</v>
      </c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22.5" customHeight="1">
      <c r="A25" s="16" t="s">
        <v>89</v>
      </c>
      <c r="B25" s="17" t="s">
        <v>90</v>
      </c>
      <c r="C25" s="17" t="s">
        <v>91</v>
      </c>
      <c r="D25" s="18">
        <v>8.0</v>
      </c>
      <c r="E25" s="22" t="s">
        <v>25</v>
      </c>
      <c r="F25" s="17" t="s">
        <v>21</v>
      </c>
      <c r="G25" s="17" t="s">
        <v>15</v>
      </c>
      <c r="H25" s="18">
        <v>1030.0</v>
      </c>
      <c r="I25" s="20" t="s">
        <v>16</v>
      </c>
      <c r="J25" s="15" t="s">
        <v>17</v>
      </c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22.5" customHeight="1">
      <c r="A26" s="10" t="s">
        <v>92</v>
      </c>
      <c r="B26" s="11" t="s">
        <v>93</v>
      </c>
      <c r="C26" s="11" t="s">
        <v>94</v>
      </c>
      <c r="D26" s="12">
        <v>8.0</v>
      </c>
      <c r="E26" s="21" t="s">
        <v>25</v>
      </c>
      <c r="F26" s="11" t="s">
        <v>21</v>
      </c>
      <c r="G26" s="11" t="s">
        <v>15</v>
      </c>
      <c r="H26" s="12">
        <v>1030.0</v>
      </c>
      <c r="I26" s="14" t="s">
        <v>16</v>
      </c>
      <c r="J26" s="15" t="s">
        <v>17</v>
      </c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22.5" customHeight="1">
      <c r="A27" s="16" t="s">
        <v>95</v>
      </c>
      <c r="B27" s="17" t="s">
        <v>96</v>
      </c>
      <c r="C27" s="17" t="s">
        <v>97</v>
      </c>
      <c r="D27" s="18">
        <v>8.0</v>
      </c>
      <c r="E27" s="19" t="s">
        <v>13</v>
      </c>
      <c r="F27" s="17" t="s">
        <v>21</v>
      </c>
      <c r="G27" s="17" t="s">
        <v>29</v>
      </c>
      <c r="H27" s="18">
        <v>1031.0</v>
      </c>
      <c r="I27" s="20" t="s">
        <v>16</v>
      </c>
      <c r="J27" s="15" t="s">
        <v>17</v>
      </c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22.5" customHeight="1">
      <c r="A28" s="10" t="s">
        <v>98</v>
      </c>
      <c r="B28" s="11" t="s">
        <v>99</v>
      </c>
      <c r="C28" s="11" t="s">
        <v>100</v>
      </c>
      <c r="D28" s="12">
        <v>8.0</v>
      </c>
      <c r="E28" s="21" t="s">
        <v>25</v>
      </c>
      <c r="F28" s="11" t="s">
        <v>21</v>
      </c>
      <c r="G28" s="11" t="s">
        <v>51</v>
      </c>
      <c r="H28" s="12">
        <v>1030.0</v>
      </c>
      <c r="I28" s="14" t="s">
        <v>16</v>
      </c>
      <c r="J28" s="15" t="s">
        <v>17</v>
      </c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22.5" customHeight="1">
      <c r="A29" s="16" t="s">
        <v>101</v>
      </c>
      <c r="B29" s="17" t="s">
        <v>102</v>
      </c>
      <c r="C29" s="17" t="s">
        <v>103</v>
      </c>
      <c r="D29" s="18">
        <v>8.0</v>
      </c>
      <c r="E29" s="22" t="s">
        <v>25</v>
      </c>
      <c r="F29" s="17" t="s">
        <v>21</v>
      </c>
      <c r="G29" s="17" t="s">
        <v>15</v>
      </c>
      <c r="H29" s="18">
        <v>1030.0</v>
      </c>
      <c r="I29" s="20" t="s">
        <v>16</v>
      </c>
      <c r="J29" s="15" t="s">
        <v>17</v>
      </c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22.5" customHeight="1">
      <c r="A30" s="10" t="s">
        <v>104</v>
      </c>
      <c r="B30" s="11" t="s">
        <v>105</v>
      </c>
      <c r="C30" s="11" t="s">
        <v>106</v>
      </c>
      <c r="D30" s="12">
        <v>8.0</v>
      </c>
      <c r="E30" s="13" t="s">
        <v>13</v>
      </c>
      <c r="F30" s="11" t="s">
        <v>21</v>
      </c>
      <c r="G30" s="11" t="s">
        <v>15</v>
      </c>
      <c r="H30" s="12">
        <v>1031.0</v>
      </c>
      <c r="I30" s="14" t="s">
        <v>16</v>
      </c>
      <c r="J30" s="15" t="s">
        <v>17</v>
      </c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22.5" customHeight="1">
      <c r="A31" s="16" t="s">
        <v>107</v>
      </c>
      <c r="B31" s="17" t="s">
        <v>108</v>
      </c>
      <c r="C31" s="17" t="s">
        <v>109</v>
      </c>
      <c r="D31" s="18">
        <v>8.0</v>
      </c>
      <c r="E31" s="19" t="s">
        <v>13</v>
      </c>
      <c r="F31" s="17" t="s">
        <v>14</v>
      </c>
      <c r="G31" s="17" t="s">
        <v>15</v>
      </c>
      <c r="H31" s="18">
        <v>1031.0</v>
      </c>
      <c r="I31" s="20" t="s">
        <v>16</v>
      </c>
      <c r="J31" s="15" t="s">
        <v>17</v>
      </c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22.5" customHeight="1">
      <c r="A32" s="10" t="s">
        <v>110</v>
      </c>
      <c r="B32" s="11" t="s">
        <v>111</v>
      </c>
      <c r="C32" s="11" t="s">
        <v>66</v>
      </c>
      <c r="D32" s="12">
        <v>8.0</v>
      </c>
      <c r="E32" s="13" t="s">
        <v>13</v>
      </c>
      <c r="F32" s="11" t="s">
        <v>21</v>
      </c>
      <c r="G32" s="11" t="s">
        <v>15</v>
      </c>
      <c r="H32" s="12">
        <v>1030.0</v>
      </c>
      <c r="I32" s="14" t="s">
        <v>16</v>
      </c>
      <c r="J32" s="15" t="s">
        <v>17</v>
      </c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ht="22.5" customHeight="1">
      <c r="A33" s="16" t="s">
        <v>112</v>
      </c>
      <c r="B33" s="17" t="s">
        <v>113</v>
      </c>
      <c r="C33" s="17" t="s">
        <v>114</v>
      </c>
      <c r="D33" s="18">
        <v>8.0</v>
      </c>
      <c r="E33" s="22" t="s">
        <v>25</v>
      </c>
      <c r="F33" s="17" t="s">
        <v>21</v>
      </c>
      <c r="G33" s="17" t="s">
        <v>39</v>
      </c>
      <c r="H33" s="18">
        <v>1031.0</v>
      </c>
      <c r="I33" s="20" t="s">
        <v>16</v>
      </c>
      <c r="J33" s="15" t="s">
        <v>17</v>
      </c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ht="22.5" customHeight="1">
      <c r="A34" s="10" t="s">
        <v>115</v>
      </c>
      <c r="B34" s="11" t="s">
        <v>116</v>
      </c>
      <c r="C34" s="11" t="s">
        <v>117</v>
      </c>
      <c r="D34" s="12">
        <v>8.0</v>
      </c>
      <c r="E34" s="13" t="s">
        <v>13</v>
      </c>
      <c r="F34" s="11" t="s">
        <v>21</v>
      </c>
      <c r="G34" s="11" t="s">
        <v>39</v>
      </c>
      <c r="H34" s="12">
        <v>1031.0</v>
      </c>
      <c r="I34" s="14" t="s">
        <v>16</v>
      </c>
      <c r="J34" s="15" t="s">
        <v>17</v>
      </c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ht="22.5" customHeight="1">
      <c r="A35" s="16" t="s">
        <v>118</v>
      </c>
      <c r="B35" s="17" t="s">
        <v>119</v>
      </c>
      <c r="C35" s="17" t="s">
        <v>120</v>
      </c>
      <c r="D35" s="18">
        <v>8.0</v>
      </c>
      <c r="E35" s="22" t="s">
        <v>25</v>
      </c>
      <c r="F35" s="17" t="s">
        <v>21</v>
      </c>
      <c r="G35" s="17" t="s">
        <v>15</v>
      </c>
      <c r="H35" s="18">
        <v>1031.0</v>
      </c>
      <c r="I35" s="20" t="s">
        <v>16</v>
      </c>
      <c r="J35" s="15" t="s">
        <v>17</v>
      </c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ht="22.5" customHeight="1">
      <c r="A36" s="10" t="s">
        <v>121</v>
      </c>
      <c r="B36" s="11" t="s">
        <v>122</v>
      </c>
      <c r="C36" s="11" t="s">
        <v>123</v>
      </c>
      <c r="D36" s="12">
        <v>8.0</v>
      </c>
      <c r="E36" s="13" t="s">
        <v>13</v>
      </c>
      <c r="F36" s="11" t="s">
        <v>21</v>
      </c>
      <c r="G36" s="11" t="s">
        <v>15</v>
      </c>
      <c r="H36" s="12">
        <v>1031.0</v>
      </c>
      <c r="I36" s="14" t="s">
        <v>16</v>
      </c>
      <c r="J36" s="15" t="s">
        <v>17</v>
      </c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ht="22.5" customHeight="1">
      <c r="A37" s="16" t="s">
        <v>124</v>
      </c>
      <c r="B37" s="17" t="s">
        <v>125</v>
      </c>
      <c r="C37" s="17" t="s">
        <v>126</v>
      </c>
      <c r="D37" s="18">
        <v>8.0</v>
      </c>
      <c r="E37" s="22" t="s">
        <v>25</v>
      </c>
      <c r="F37" s="17" t="s">
        <v>21</v>
      </c>
      <c r="G37" s="17" t="s">
        <v>15</v>
      </c>
      <c r="H37" s="18">
        <v>1030.0</v>
      </c>
      <c r="I37" s="20" t="s">
        <v>16</v>
      </c>
      <c r="J37" s="15" t="s">
        <v>17</v>
      </c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22.5" customHeight="1">
      <c r="A38" s="10" t="s">
        <v>127</v>
      </c>
      <c r="B38" s="11" t="s">
        <v>128</v>
      </c>
      <c r="C38" s="11" t="s">
        <v>129</v>
      </c>
      <c r="D38" s="12">
        <v>8.0</v>
      </c>
      <c r="E38" s="13" t="s">
        <v>13</v>
      </c>
      <c r="F38" s="11" t="s">
        <v>21</v>
      </c>
      <c r="G38" s="11" t="s">
        <v>15</v>
      </c>
      <c r="H38" s="12">
        <v>1030.0</v>
      </c>
      <c r="I38" s="14" t="s">
        <v>16</v>
      </c>
      <c r="J38" s="15" t="s">
        <v>17</v>
      </c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ht="22.5" customHeight="1">
      <c r="A39" s="16" t="s">
        <v>130</v>
      </c>
      <c r="B39" s="17" t="s">
        <v>131</v>
      </c>
      <c r="C39" s="17" t="s">
        <v>132</v>
      </c>
      <c r="D39" s="18">
        <v>8.0</v>
      </c>
      <c r="E39" s="19" t="s">
        <v>13</v>
      </c>
      <c r="F39" s="17" t="s">
        <v>21</v>
      </c>
      <c r="G39" s="17" t="s">
        <v>15</v>
      </c>
      <c r="H39" s="18">
        <v>1031.0</v>
      </c>
      <c r="I39" s="20" t="s">
        <v>16</v>
      </c>
      <c r="J39" s="15" t="s">
        <v>17</v>
      </c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ht="22.5" customHeight="1">
      <c r="A40" s="10" t="s">
        <v>133</v>
      </c>
      <c r="B40" s="11" t="s">
        <v>134</v>
      </c>
      <c r="C40" s="11" t="s">
        <v>135</v>
      </c>
      <c r="D40" s="12">
        <v>8.0</v>
      </c>
      <c r="E40" s="13" t="s">
        <v>13</v>
      </c>
      <c r="F40" s="11" t="s">
        <v>21</v>
      </c>
      <c r="G40" s="11" t="s">
        <v>136</v>
      </c>
      <c r="H40" s="12">
        <v>1030.0</v>
      </c>
      <c r="I40" s="14" t="s">
        <v>16</v>
      </c>
      <c r="J40" s="15" t="s">
        <v>17</v>
      </c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ht="22.5" customHeight="1">
      <c r="A41" s="16" t="s">
        <v>137</v>
      </c>
      <c r="B41" s="17" t="s">
        <v>138</v>
      </c>
      <c r="C41" s="17" t="s">
        <v>139</v>
      </c>
      <c r="D41" s="18">
        <v>8.0</v>
      </c>
      <c r="E41" s="22" t="s">
        <v>25</v>
      </c>
      <c r="F41" s="17" t="s">
        <v>21</v>
      </c>
      <c r="G41" s="17" t="s">
        <v>15</v>
      </c>
      <c r="H41" s="18">
        <v>1031.0</v>
      </c>
      <c r="I41" s="20" t="s">
        <v>16</v>
      </c>
      <c r="J41" s="15" t="s">
        <v>17</v>
      </c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ht="22.5" customHeight="1">
      <c r="A42" s="10" t="s">
        <v>140</v>
      </c>
      <c r="B42" s="11" t="s">
        <v>141</v>
      </c>
      <c r="C42" s="11" t="s">
        <v>142</v>
      </c>
      <c r="D42" s="12">
        <v>8.0</v>
      </c>
      <c r="E42" s="21" t="s">
        <v>25</v>
      </c>
      <c r="F42" s="11" t="s">
        <v>21</v>
      </c>
      <c r="G42" s="11" t="s">
        <v>29</v>
      </c>
      <c r="H42" s="12">
        <v>1031.0</v>
      </c>
      <c r="I42" s="14" t="s">
        <v>16</v>
      </c>
      <c r="J42" s="15" t="s">
        <v>17</v>
      </c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ht="22.5" customHeight="1">
      <c r="A43" s="16" t="s">
        <v>143</v>
      </c>
      <c r="B43" s="17" t="s">
        <v>144</v>
      </c>
      <c r="C43" s="17" t="s">
        <v>145</v>
      </c>
      <c r="D43" s="18">
        <v>8.0</v>
      </c>
      <c r="E43" s="22" t="s">
        <v>25</v>
      </c>
      <c r="F43" s="17" t="s">
        <v>21</v>
      </c>
      <c r="G43" s="17" t="s">
        <v>146</v>
      </c>
      <c r="H43" s="18">
        <v>1031.0</v>
      </c>
      <c r="I43" s="20" t="s">
        <v>16</v>
      </c>
      <c r="J43" s="15" t="s">
        <v>17</v>
      </c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ht="22.5" customHeight="1">
      <c r="A44" s="10" t="s">
        <v>147</v>
      </c>
      <c r="B44" s="11" t="s">
        <v>148</v>
      </c>
      <c r="C44" s="11" t="s">
        <v>149</v>
      </c>
      <c r="D44" s="12">
        <v>8.0</v>
      </c>
      <c r="E44" s="13" t="s">
        <v>13</v>
      </c>
      <c r="F44" s="11" t="s">
        <v>21</v>
      </c>
      <c r="G44" s="11" t="s">
        <v>15</v>
      </c>
      <c r="H44" s="12">
        <v>1031.0</v>
      </c>
      <c r="I44" s="14" t="s">
        <v>16</v>
      </c>
      <c r="J44" s="15" t="s">
        <v>17</v>
      </c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ht="22.5" customHeight="1">
      <c r="A45" s="16" t="s">
        <v>150</v>
      </c>
      <c r="B45" s="17" t="s">
        <v>151</v>
      </c>
      <c r="C45" s="17" t="s">
        <v>152</v>
      </c>
      <c r="D45" s="18">
        <v>8.0</v>
      </c>
      <c r="E45" s="22" t="s">
        <v>25</v>
      </c>
      <c r="F45" s="17" t="s">
        <v>21</v>
      </c>
      <c r="G45" s="17" t="s">
        <v>29</v>
      </c>
      <c r="H45" s="18">
        <v>1030.0</v>
      </c>
      <c r="I45" s="20" t="s">
        <v>16</v>
      </c>
      <c r="J45" s="15" t="s">
        <v>17</v>
      </c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ht="22.5" customHeight="1">
      <c r="A46" s="10" t="s">
        <v>153</v>
      </c>
      <c r="B46" s="11" t="s">
        <v>154</v>
      </c>
      <c r="C46" s="11" t="s">
        <v>155</v>
      </c>
      <c r="D46" s="12">
        <v>8.0</v>
      </c>
      <c r="E46" s="13" t="s">
        <v>13</v>
      </c>
      <c r="F46" s="11" t="s">
        <v>21</v>
      </c>
      <c r="G46" s="11" t="s">
        <v>15</v>
      </c>
      <c r="H46" s="12">
        <v>1031.0</v>
      </c>
      <c r="I46" s="14" t="s">
        <v>16</v>
      </c>
      <c r="J46" s="15" t="s">
        <v>17</v>
      </c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ht="22.5" customHeight="1">
      <c r="A47" s="16" t="s">
        <v>156</v>
      </c>
      <c r="B47" s="17" t="s">
        <v>157</v>
      </c>
      <c r="C47" s="17" t="s">
        <v>158</v>
      </c>
      <c r="D47" s="18">
        <v>8.0</v>
      </c>
      <c r="E47" s="19" t="s">
        <v>13</v>
      </c>
      <c r="F47" s="17" t="s">
        <v>21</v>
      </c>
      <c r="G47" s="17" t="s">
        <v>15</v>
      </c>
      <c r="H47" s="18">
        <v>1031.0</v>
      </c>
      <c r="I47" s="20" t="s">
        <v>16</v>
      </c>
      <c r="J47" s="15" t="s">
        <v>17</v>
      </c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ht="22.5" customHeight="1">
      <c r="A48" s="10" t="s">
        <v>159</v>
      </c>
      <c r="B48" s="11" t="s">
        <v>160</v>
      </c>
      <c r="C48" s="11" t="s">
        <v>161</v>
      </c>
      <c r="D48" s="12">
        <v>8.0</v>
      </c>
      <c r="E48" s="13" t="s">
        <v>13</v>
      </c>
      <c r="F48" s="11" t="s">
        <v>21</v>
      </c>
      <c r="G48" s="11" t="s">
        <v>15</v>
      </c>
      <c r="H48" s="12">
        <v>1030.0</v>
      </c>
      <c r="I48" s="14" t="s">
        <v>16</v>
      </c>
      <c r="J48" s="15" t="s">
        <v>17</v>
      </c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ht="22.5" customHeight="1">
      <c r="A49" s="16" t="s">
        <v>162</v>
      </c>
      <c r="B49" s="17" t="s">
        <v>163</v>
      </c>
      <c r="C49" s="17" t="s">
        <v>164</v>
      </c>
      <c r="D49" s="18">
        <v>8.0</v>
      </c>
      <c r="E49" s="19" t="s">
        <v>13</v>
      </c>
      <c r="F49" s="17" t="s">
        <v>21</v>
      </c>
      <c r="G49" s="17" t="s">
        <v>15</v>
      </c>
      <c r="H49" s="18">
        <v>1031.0</v>
      </c>
      <c r="I49" s="20" t="s">
        <v>16</v>
      </c>
      <c r="J49" s="15" t="s">
        <v>17</v>
      </c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ht="22.5" customHeight="1">
      <c r="A50" s="10" t="s">
        <v>165</v>
      </c>
      <c r="B50" s="11" t="s">
        <v>166</v>
      </c>
      <c r="C50" s="11" t="s">
        <v>167</v>
      </c>
      <c r="D50" s="12">
        <v>8.0</v>
      </c>
      <c r="E50" s="13" t="s">
        <v>13</v>
      </c>
      <c r="F50" s="11" t="s">
        <v>21</v>
      </c>
      <c r="G50" s="11" t="s">
        <v>15</v>
      </c>
      <c r="H50" s="12">
        <v>1030.0</v>
      </c>
      <c r="I50" s="14" t="s">
        <v>16</v>
      </c>
      <c r="J50" s="15" t="s">
        <v>17</v>
      </c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ht="22.5" customHeight="1">
      <c r="A51" s="16" t="s">
        <v>168</v>
      </c>
      <c r="B51" s="17" t="s">
        <v>169</v>
      </c>
      <c r="C51" s="17" t="s">
        <v>170</v>
      </c>
      <c r="D51" s="18">
        <v>8.0</v>
      </c>
      <c r="E51" s="19" t="s">
        <v>13</v>
      </c>
      <c r="F51" s="17" t="s">
        <v>21</v>
      </c>
      <c r="G51" s="17" t="s">
        <v>15</v>
      </c>
      <c r="H51" s="18">
        <v>1030.0</v>
      </c>
      <c r="I51" s="20" t="s">
        <v>16</v>
      </c>
      <c r="J51" s="15" t="s">
        <v>17</v>
      </c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ht="22.5" customHeight="1">
      <c r="A52" s="10" t="s">
        <v>171</v>
      </c>
      <c r="B52" s="11" t="s">
        <v>172</v>
      </c>
      <c r="C52" s="11" t="s">
        <v>173</v>
      </c>
      <c r="D52" s="12">
        <v>8.0</v>
      </c>
      <c r="E52" s="13" t="s">
        <v>13</v>
      </c>
      <c r="F52" s="11" t="s">
        <v>14</v>
      </c>
      <c r="G52" s="11" t="s">
        <v>174</v>
      </c>
      <c r="H52" s="12">
        <v>1030.0</v>
      </c>
      <c r="I52" s="14" t="s">
        <v>16</v>
      </c>
      <c r="J52" s="15" t="s">
        <v>17</v>
      </c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ht="22.5" customHeight="1">
      <c r="A53" s="16" t="s">
        <v>175</v>
      </c>
      <c r="B53" s="17" t="s">
        <v>176</v>
      </c>
      <c r="C53" s="17" t="s">
        <v>177</v>
      </c>
      <c r="D53" s="18">
        <v>8.0</v>
      </c>
      <c r="E53" s="19" t="s">
        <v>13</v>
      </c>
      <c r="F53" s="17" t="s">
        <v>21</v>
      </c>
      <c r="G53" s="17" t="s">
        <v>15</v>
      </c>
      <c r="H53" s="18">
        <v>1031.0</v>
      </c>
      <c r="I53" s="20" t="s">
        <v>16</v>
      </c>
      <c r="J53" s="15" t="s">
        <v>17</v>
      </c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ht="22.5" customHeight="1">
      <c r="A54" s="10" t="s">
        <v>178</v>
      </c>
      <c r="B54" s="11" t="s">
        <v>179</v>
      </c>
      <c r="C54" s="11" t="s">
        <v>180</v>
      </c>
      <c r="D54" s="12">
        <v>8.0</v>
      </c>
      <c r="E54" s="13" t="s">
        <v>13</v>
      </c>
      <c r="F54" s="11" t="s">
        <v>21</v>
      </c>
      <c r="G54" s="11" t="s">
        <v>29</v>
      </c>
      <c r="H54" s="12">
        <v>1030.0</v>
      </c>
      <c r="I54" s="14" t="s">
        <v>16</v>
      </c>
      <c r="J54" s="15" t="s">
        <v>17</v>
      </c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ht="22.5" customHeight="1">
      <c r="A55" s="16" t="s">
        <v>181</v>
      </c>
      <c r="B55" s="17" t="s">
        <v>182</v>
      </c>
      <c r="C55" s="17" t="s">
        <v>183</v>
      </c>
      <c r="D55" s="18">
        <v>8.0</v>
      </c>
      <c r="E55" s="19" t="s">
        <v>13</v>
      </c>
      <c r="F55" s="17" t="s">
        <v>21</v>
      </c>
      <c r="G55" s="17" t="s">
        <v>15</v>
      </c>
      <c r="H55" s="18">
        <v>1031.0</v>
      </c>
      <c r="I55" s="20" t="s">
        <v>16</v>
      </c>
      <c r="J55" s="15" t="s">
        <v>17</v>
      </c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ht="22.5" customHeight="1">
      <c r="A56" s="10" t="s">
        <v>184</v>
      </c>
      <c r="B56" s="11" t="s">
        <v>185</v>
      </c>
      <c r="C56" s="11" t="s">
        <v>186</v>
      </c>
      <c r="D56" s="12">
        <v>8.0</v>
      </c>
      <c r="E56" s="13" t="s">
        <v>13</v>
      </c>
      <c r="F56" s="11" t="s">
        <v>21</v>
      </c>
      <c r="G56" s="11" t="s">
        <v>15</v>
      </c>
      <c r="H56" s="12">
        <v>1031.0</v>
      </c>
      <c r="I56" s="14" t="s">
        <v>16</v>
      </c>
      <c r="J56" s="15" t="s">
        <v>17</v>
      </c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ht="22.5" customHeight="1">
      <c r="A57" s="16" t="s">
        <v>187</v>
      </c>
      <c r="B57" s="17" t="s">
        <v>188</v>
      </c>
      <c r="C57" s="17" t="s">
        <v>189</v>
      </c>
      <c r="D57" s="18">
        <v>8.0</v>
      </c>
      <c r="E57" s="19" t="s">
        <v>13</v>
      </c>
      <c r="F57" s="17" t="s">
        <v>21</v>
      </c>
      <c r="G57" s="17" t="s">
        <v>15</v>
      </c>
      <c r="H57" s="18">
        <v>1030.0</v>
      </c>
      <c r="I57" s="20" t="s">
        <v>16</v>
      </c>
      <c r="J57" s="15" t="s">
        <v>17</v>
      </c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ht="22.5" customHeight="1">
      <c r="A58" s="10" t="s">
        <v>190</v>
      </c>
      <c r="B58" s="11" t="s">
        <v>191</v>
      </c>
      <c r="C58" s="11" t="s">
        <v>192</v>
      </c>
      <c r="D58" s="12">
        <v>8.0</v>
      </c>
      <c r="E58" s="13" t="s">
        <v>13</v>
      </c>
      <c r="F58" s="11" t="s">
        <v>21</v>
      </c>
      <c r="G58" s="11" t="s">
        <v>15</v>
      </c>
      <c r="H58" s="12">
        <v>1030.0</v>
      </c>
      <c r="I58" s="14" t="s">
        <v>16</v>
      </c>
      <c r="J58" s="15" t="s">
        <v>17</v>
      </c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ht="22.5" customHeight="1">
      <c r="A59" s="16" t="s">
        <v>193</v>
      </c>
      <c r="B59" s="17" t="s">
        <v>194</v>
      </c>
      <c r="C59" s="17" t="s">
        <v>195</v>
      </c>
      <c r="D59" s="18">
        <v>8.0</v>
      </c>
      <c r="E59" s="19" t="s">
        <v>13</v>
      </c>
      <c r="F59" s="17" t="s">
        <v>21</v>
      </c>
      <c r="G59" s="17" t="s">
        <v>15</v>
      </c>
      <c r="H59" s="18">
        <v>1030.0</v>
      </c>
      <c r="I59" s="20" t="s">
        <v>16</v>
      </c>
      <c r="J59" s="15" t="s">
        <v>17</v>
      </c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ht="22.5" customHeight="1">
      <c r="A60" s="10" t="s">
        <v>196</v>
      </c>
      <c r="B60" s="11" t="s">
        <v>197</v>
      </c>
      <c r="C60" s="11" t="s">
        <v>132</v>
      </c>
      <c r="D60" s="12">
        <v>8.0</v>
      </c>
      <c r="E60" s="13" t="s">
        <v>13</v>
      </c>
      <c r="F60" s="11" t="s">
        <v>21</v>
      </c>
      <c r="G60" s="11" t="s">
        <v>15</v>
      </c>
      <c r="H60" s="12">
        <v>1031.0</v>
      </c>
      <c r="I60" s="14" t="s">
        <v>16</v>
      </c>
      <c r="J60" s="15" t="s">
        <v>17</v>
      </c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ht="22.5" customHeight="1">
      <c r="A61" s="23" t="s">
        <v>198</v>
      </c>
      <c r="B61" s="24" t="s">
        <v>199</v>
      </c>
      <c r="C61" s="24" t="s">
        <v>200</v>
      </c>
      <c r="D61" s="25">
        <v>8.0</v>
      </c>
      <c r="E61" s="26" t="s">
        <v>25</v>
      </c>
      <c r="F61" s="24" t="s">
        <v>21</v>
      </c>
      <c r="G61" s="24" t="s">
        <v>39</v>
      </c>
      <c r="H61" s="25">
        <v>1030.0</v>
      </c>
      <c r="I61" s="27" t="s">
        <v>16</v>
      </c>
      <c r="J61" s="15" t="s">
        <v>17</v>
      </c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dataValidations>
    <dataValidation type="list" allowBlank="1" showDropDown="1" showErrorMessage="1" sqref="E2:E61">
      <formula1>"M,F"</formula1>
    </dataValidation>
    <dataValidation type="custom" allowBlank="1" showDropDown="1" sqref="D2:D61 H2:H61">
      <formula1>AND(ISNUMBER(D2),(NOT(OR(NOT(ISERROR(DATEVALUE(D2))), AND(ISNUMBER(D2), LEFT(CELL("format", D2))="D")))))</formula1>
    </dataValidation>
    <dataValidation allowBlank="1" showDropDown="1" sqref="A2:C61 F2:G61 I2:I61"/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sheetData>
    <row r="1" ht="22.5" customHeight="1">
      <c r="A1" s="5" t="s">
        <v>0</v>
      </c>
      <c r="B1" s="5" t="s">
        <v>1</v>
      </c>
      <c r="C1" s="5" t="s">
        <v>2</v>
      </c>
      <c r="D1" s="6" t="s">
        <v>3</v>
      </c>
      <c r="E1" s="7" t="s">
        <v>4</v>
      </c>
      <c r="F1" s="5" t="s">
        <v>5</v>
      </c>
      <c r="G1" s="5" t="s">
        <v>6</v>
      </c>
      <c r="H1" s="6" t="s">
        <v>7</v>
      </c>
      <c r="I1" s="5" t="s">
        <v>8</v>
      </c>
      <c r="J1" s="8" t="s">
        <v>9</v>
      </c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ht="22.5" customHeight="1">
      <c r="A2" s="10" t="s">
        <v>10</v>
      </c>
      <c r="B2" s="11" t="s">
        <v>11</v>
      </c>
      <c r="C2" s="11" t="s">
        <v>12</v>
      </c>
      <c r="D2" s="12">
        <v>8.0</v>
      </c>
      <c r="E2" s="13" t="s">
        <v>13</v>
      </c>
      <c r="F2" s="11" t="s">
        <v>14</v>
      </c>
      <c r="G2" s="11" t="s">
        <v>15</v>
      </c>
      <c r="H2" s="12">
        <v>1030.0</v>
      </c>
      <c r="I2" s="14" t="s">
        <v>16</v>
      </c>
      <c r="J2" s="15" t="s">
        <v>201</v>
      </c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ht="22.5" customHeight="1">
      <c r="A3" s="16" t="s">
        <v>18</v>
      </c>
      <c r="B3" s="17" t="s">
        <v>19</v>
      </c>
      <c r="C3" s="17" t="s">
        <v>20</v>
      </c>
      <c r="D3" s="18">
        <v>8.0</v>
      </c>
      <c r="E3" s="19" t="s">
        <v>13</v>
      </c>
      <c r="F3" s="17" t="s">
        <v>21</v>
      </c>
      <c r="G3" s="17" t="s">
        <v>15</v>
      </c>
      <c r="H3" s="18">
        <v>1030.0</v>
      </c>
      <c r="I3" s="20" t="s">
        <v>16</v>
      </c>
      <c r="J3" s="15" t="s">
        <v>201</v>
      </c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22.5" customHeight="1">
      <c r="A4" s="10" t="s">
        <v>22</v>
      </c>
      <c r="B4" s="11" t="s">
        <v>23</v>
      </c>
      <c r="C4" s="11" t="s">
        <v>24</v>
      </c>
      <c r="D4" s="12">
        <v>8.0</v>
      </c>
      <c r="E4" s="21" t="s">
        <v>25</v>
      </c>
      <c r="F4" s="11" t="s">
        <v>21</v>
      </c>
      <c r="G4" s="11" t="s">
        <v>15</v>
      </c>
      <c r="H4" s="12">
        <v>1030.0</v>
      </c>
      <c r="I4" s="14" t="s">
        <v>16</v>
      </c>
      <c r="J4" s="15" t="s">
        <v>201</v>
      </c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ht="22.5" customHeight="1">
      <c r="A5" s="16" t="s">
        <v>26</v>
      </c>
      <c r="B5" s="17" t="s">
        <v>27</v>
      </c>
      <c r="C5" s="17" t="s">
        <v>28</v>
      </c>
      <c r="D5" s="18">
        <v>8.0</v>
      </c>
      <c r="E5" s="19" t="s">
        <v>13</v>
      </c>
      <c r="F5" s="17" t="s">
        <v>21</v>
      </c>
      <c r="G5" s="17" t="s">
        <v>29</v>
      </c>
      <c r="H5" s="18">
        <v>1031.0</v>
      </c>
      <c r="I5" s="20" t="s">
        <v>16</v>
      </c>
      <c r="J5" s="15" t="s">
        <v>201</v>
      </c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ht="22.5" customHeight="1">
      <c r="A6" s="10" t="s">
        <v>30</v>
      </c>
      <c r="B6" s="11" t="s">
        <v>31</v>
      </c>
      <c r="C6" s="11" t="s">
        <v>32</v>
      </c>
      <c r="D6" s="12">
        <v>8.0</v>
      </c>
      <c r="E6" s="13" t="s">
        <v>13</v>
      </c>
      <c r="F6" s="11" t="s">
        <v>21</v>
      </c>
      <c r="G6" s="11" t="s">
        <v>15</v>
      </c>
      <c r="H6" s="12">
        <v>1030.0</v>
      </c>
      <c r="I6" s="14" t="s">
        <v>16</v>
      </c>
      <c r="J6" s="15" t="s">
        <v>201</v>
      </c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ht="22.5" customHeight="1">
      <c r="A7" s="16" t="s">
        <v>33</v>
      </c>
      <c r="B7" s="17" t="s">
        <v>34</v>
      </c>
      <c r="C7" s="17" t="s">
        <v>35</v>
      </c>
      <c r="D7" s="18">
        <v>8.0</v>
      </c>
      <c r="E7" s="22" t="s">
        <v>25</v>
      </c>
      <c r="F7" s="17" t="s">
        <v>21</v>
      </c>
      <c r="G7" s="17" t="s">
        <v>15</v>
      </c>
      <c r="H7" s="18">
        <v>1031.0</v>
      </c>
      <c r="I7" s="20" t="s">
        <v>16</v>
      </c>
      <c r="J7" s="15" t="s">
        <v>201</v>
      </c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ht="22.5" customHeight="1">
      <c r="A8" s="10" t="s">
        <v>36</v>
      </c>
      <c r="B8" s="11" t="s">
        <v>37</v>
      </c>
      <c r="C8" s="11" t="s">
        <v>38</v>
      </c>
      <c r="D8" s="12">
        <v>8.0</v>
      </c>
      <c r="E8" s="21" t="s">
        <v>25</v>
      </c>
      <c r="F8" s="11" t="s">
        <v>21</v>
      </c>
      <c r="G8" s="11" t="s">
        <v>39</v>
      </c>
      <c r="H8" s="12">
        <v>1030.0</v>
      </c>
      <c r="I8" s="14" t="s">
        <v>16</v>
      </c>
      <c r="J8" s="15" t="s">
        <v>201</v>
      </c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ht="22.5" customHeight="1">
      <c r="A9" s="16" t="s">
        <v>40</v>
      </c>
      <c r="B9" s="17" t="s">
        <v>41</v>
      </c>
      <c r="C9" s="17" t="s">
        <v>42</v>
      </c>
      <c r="D9" s="18">
        <v>8.0</v>
      </c>
      <c r="E9" s="19" t="s">
        <v>13</v>
      </c>
      <c r="F9" s="17" t="s">
        <v>21</v>
      </c>
      <c r="G9" s="17" t="s">
        <v>15</v>
      </c>
      <c r="H9" s="18">
        <v>1031.0</v>
      </c>
      <c r="I9" s="20" t="s">
        <v>16</v>
      </c>
      <c r="J9" s="15" t="s">
        <v>201</v>
      </c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22.5" customHeight="1">
      <c r="A10" s="10" t="s">
        <v>43</v>
      </c>
      <c r="B10" s="11" t="s">
        <v>44</v>
      </c>
      <c r="C10" s="11" t="s">
        <v>45</v>
      </c>
      <c r="D10" s="12">
        <v>8.0</v>
      </c>
      <c r="E10" s="21" t="s">
        <v>25</v>
      </c>
      <c r="F10" s="11" t="s">
        <v>21</v>
      </c>
      <c r="G10" s="11" t="s">
        <v>15</v>
      </c>
      <c r="H10" s="12">
        <v>1031.0</v>
      </c>
      <c r="I10" s="14" t="s">
        <v>16</v>
      </c>
      <c r="J10" s="15" t="s">
        <v>201</v>
      </c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22.5" customHeight="1">
      <c r="A11" s="16" t="s">
        <v>46</v>
      </c>
      <c r="B11" s="17" t="s">
        <v>47</v>
      </c>
      <c r="C11" s="17" t="s">
        <v>12</v>
      </c>
      <c r="D11" s="18">
        <v>8.0</v>
      </c>
      <c r="E11" s="19" t="s">
        <v>13</v>
      </c>
      <c r="F11" s="17" t="s">
        <v>21</v>
      </c>
      <c r="G11" s="17" t="s">
        <v>15</v>
      </c>
      <c r="H11" s="18">
        <v>1030.0</v>
      </c>
      <c r="I11" s="20" t="s">
        <v>16</v>
      </c>
      <c r="J11" s="15" t="s">
        <v>201</v>
      </c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22.5" customHeight="1">
      <c r="A12" s="10" t="s">
        <v>48</v>
      </c>
      <c r="B12" s="11" t="s">
        <v>49</v>
      </c>
      <c r="C12" s="11" t="s">
        <v>50</v>
      </c>
      <c r="D12" s="12">
        <v>8.0</v>
      </c>
      <c r="E12" s="13" t="s">
        <v>13</v>
      </c>
      <c r="F12" s="11" t="s">
        <v>21</v>
      </c>
      <c r="G12" s="11" t="s">
        <v>51</v>
      </c>
      <c r="H12" s="12">
        <v>1030.0</v>
      </c>
      <c r="I12" s="14" t="s">
        <v>16</v>
      </c>
      <c r="J12" s="15" t="s">
        <v>201</v>
      </c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22.5" customHeight="1">
      <c r="A13" s="16" t="s">
        <v>52</v>
      </c>
      <c r="B13" s="17" t="s">
        <v>53</v>
      </c>
      <c r="C13" s="17" t="s">
        <v>54</v>
      </c>
      <c r="D13" s="18">
        <v>8.0</v>
      </c>
      <c r="E13" s="22" t="s">
        <v>25</v>
      </c>
      <c r="F13" s="17" t="s">
        <v>21</v>
      </c>
      <c r="G13" s="17" t="s">
        <v>29</v>
      </c>
      <c r="H13" s="18">
        <v>1030.0</v>
      </c>
      <c r="I13" s="20" t="s">
        <v>16</v>
      </c>
      <c r="J13" s="15" t="s">
        <v>201</v>
      </c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22.5" customHeight="1">
      <c r="A14" s="10" t="s">
        <v>55</v>
      </c>
      <c r="B14" s="11" t="s">
        <v>56</v>
      </c>
      <c r="C14" s="11" t="s">
        <v>57</v>
      </c>
      <c r="D14" s="12">
        <v>8.0</v>
      </c>
      <c r="E14" s="13" t="s">
        <v>13</v>
      </c>
      <c r="F14" s="11" t="s">
        <v>21</v>
      </c>
      <c r="G14" s="11" t="s">
        <v>51</v>
      </c>
      <c r="H14" s="12">
        <v>1031.0</v>
      </c>
      <c r="I14" s="14" t="s">
        <v>16</v>
      </c>
      <c r="J14" s="15" t="s">
        <v>201</v>
      </c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22.5" customHeight="1">
      <c r="A15" s="16" t="s">
        <v>58</v>
      </c>
      <c r="B15" s="17" t="s">
        <v>59</v>
      </c>
      <c r="C15" s="17" t="s">
        <v>60</v>
      </c>
      <c r="D15" s="18">
        <v>8.0</v>
      </c>
      <c r="E15" s="22" t="s">
        <v>25</v>
      </c>
      <c r="F15" s="17" t="s">
        <v>21</v>
      </c>
      <c r="G15" s="17" t="s">
        <v>15</v>
      </c>
      <c r="H15" s="18">
        <v>1031.0</v>
      </c>
      <c r="I15" s="20" t="s">
        <v>16</v>
      </c>
      <c r="J15" s="15" t="s">
        <v>201</v>
      </c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ht="22.5" customHeight="1">
      <c r="A16" s="10" t="s">
        <v>61</v>
      </c>
      <c r="B16" s="11" t="s">
        <v>62</v>
      </c>
      <c r="C16" s="11" t="s">
        <v>63</v>
      </c>
      <c r="D16" s="12">
        <v>8.0</v>
      </c>
      <c r="E16" s="13" t="s">
        <v>13</v>
      </c>
      <c r="F16" s="11" t="s">
        <v>21</v>
      </c>
      <c r="G16" s="11" t="s">
        <v>15</v>
      </c>
      <c r="H16" s="12">
        <v>1030.0</v>
      </c>
      <c r="I16" s="14" t="s">
        <v>16</v>
      </c>
      <c r="J16" s="15" t="s">
        <v>201</v>
      </c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22.5" customHeight="1">
      <c r="A17" s="16" t="s">
        <v>64</v>
      </c>
      <c r="B17" s="17" t="s">
        <v>65</v>
      </c>
      <c r="C17" s="17" t="s">
        <v>66</v>
      </c>
      <c r="D17" s="18">
        <v>8.0</v>
      </c>
      <c r="E17" s="19" t="s">
        <v>13</v>
      </c>
      <c r="F17" s="17" t="s">
        <v>21</v>
      </c>
      <c r="G17" s="17" t="s">
        <v>15</v>
      </c>
      <c r="H17" s="18">
        <v>1031.0</v>
      </c>
      <c r="I17" s="20" t="s">
        <v>16</v>
      </c>
      <c r="J17" s="15" t="s">
        <v>201</v>
      </c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22.5" customHeight="1">
      <c r="A18" s="10" t="s">
        <v>67</v>
      </c>
      <c r="B18" s="11" t="s">
        <v>68</v>
      </c>
      <c r="C18" s="11" t="s">
        <v>69</v>
      </c>
      <c r="D18" s="12">
        <v>8.0</v>
      </c>
      <c r="E18" s="21" t="s">
        <v>25</v>
      </c>
      <c r="F18" s="11" t="s">
        <v>21</v>
      </c>
      <c r="G18" s="11" t="s">
        <v>70</v>
      </c>
      <c r="H18" s="12">
        <v>1031.0</v>
      </c>
      <c r="I18" s="14" t="s">
        <v>16</v>
      </c>
      <c r="J18" s="15" t="s">
        <v>201</v>
      </c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22.5" customHeight="1">
      <c r="A19" s="16" t="s">
        <v>71</v>
      </c>
      <c r="B19" s="17" t="s">
        <v>72</v>
      </c>
      <c r="C19" s="17" t="s">
        <v>73</v>
      </c>
      <c r="D19" s="18">
        <v>8.0</v>
      </c>
      <c r="E19" s="22" t="s">
        <v>25</v>
      </c>
      <c r="F19" s="17" t="s">
        <v>21</v>
      </c>
      <c r="G19" s="17" t="s">
        <v>39</v>
      </c>
      <c r="H19" s="18">
        <v>1030.0</v>
      </c>
      <c r="I19" s="20" t="s">
        <v>16</v>
      </c>
      <c r="J19" s="15" t="s">
        <v>201</v>
      </c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2.5" customHeight="1">
      <c r="A20" s="10" t="s">
        <v>74</v>
      </c>
      <c r="B20" s="11" t="s">
        <v>75</v>
      </c>
      <c r="C20" s="11" t="s">
        <v>76</v>
      </c>
      <c r="D20" s="12">
        <v>8.0</v>
      </c>
      <c r="E20" s="13" t="s">
        <v>13</v>
      </c>
      <c r="F20" s="11" t="s">
        <v>21</v>
      </c>
      <c r="G20" s="11" t="s">
        <v>15</v>
      </c>
      <c r="H20" s="12">
        <v>1030.0</v>
      </c>
      <c r="I20" s="14" t="s">
        <v>16</v>
      </c>
      <c r="J20" s="15" t="s">
        <v>201</v>
      </c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22.5" customHeight="1">
      <c r="A21" s="16" t="s">
        <v>77</v>
      </c>
      <c r="B21" s="17" t="s">
        <v>78</v>
      </c>
      <c r="C21" s="17" t="s">
        <v>79</v>
      </c>
      <c r="D21" s="18">
        <v>8.0</v>
      </c>
      <c r="E21" s="19" t="s">
        <v>13</v>
      </c>
      <c r="F21" s="17" t="s">
        <v>21</v>
      </c>
      <c r="G21" s="17" t="s">
        <v>15</v>
      </c>
      <c r="H21" s="18">
        <v>1030.0</v>
      </c>
      <c r="I21" s="20" t="s">
        <v>16</v>
      </c>
      <c r="J21" s="15" t="s">
        <v>201</v>
      </c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22.5" customHeight="1">
      <c r="A22" s="10" t="s">
        <v>80</v>
      </c>
      <c r="B22" s="11" t="s">
        <v>81</v>
      </c>
      <c r="C22" s="11" t="s">
        <v>82</v>
      </c>
      <c r="D22" s="12">
        <v>8.0</v>
      </c>
      <c r="E22" s="13" t="s">
        <v>13</v>
      </c>
      <c r="F22" s="11" t="s">
        <v>21</v>
      </c>
      <c r="G22" s="11" t="s">
        <v>15</v>
      </c>
      <c r="H22" s="12">
        <v>1031.0</v>
      </c>
      <c r="I22" s="14" t="s">
        <v>16</v>
      </c>
      <c r="J22" s="15" t="s">
        <v>201</v>
      </c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22.5" customHeight="1">
      <c r="A23" s="16" t="s">
        <v>83</v>
      </c>
      <c r="B23" s="17" t="s">
        <v>84</v>
      </c>
      <c r="C23" s="17" t="s">
        <v>85</v>
      </c>
      <c r="D23" s="18">
        <v>8.0</v>
      </c>
      <c r="E23" s="19" t="s">
        <v>13</v>
      </c>
      <c r="F23" s="17" t="s">
        <v>21</v>
      </c>
      <c r="G23" s="17" t="s">
        <v>15</v>
      </c>
      <c r="H23" s="18">
        <v>1030.0</v>
      </c>
      <c r="I23" s="20" t="s">
        <v>16</v>
      </c>
      <c r="J23" s="15" t="s">
        <v>201</v>
      </c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22.5" customHeight="1">
      <c r="A24" s="10" t="s">
        <v>86</v>
      </c>
      <c r="B24" s="11" t="s">
        <v>87</v>
      </c>
      <c r="C24" s="11" t="s">
        <v>88</v>
      </c>
      <c r="D24" s="12">
        <v>8.0</v>
      </c>
      <c r="E24" s="13" t="s">
        <v>13</v>
      </c>
      <c r="F24" s="11" t="s">
        <v>14</v>
      </c>
      <c r="G24" s="11" t="s">
        <v>15</v>
      </c>
      <c r="H24" s="12">
        <v>1031.0</v>
      </c>
      <c r="I24" s="14" t="s">
        <v>16</v>
      </c>
      <c r="J24" s="15" t="s">
        <v>201</v>
      </c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22.5" customHeight="1">
      <c r="A25" s="16" t="s">
        <v>89</v>
      </c>
      <c r="B25" s="17" t="s">
        <v>90</v>
      </c>
      <c r="C25" s="17" t="s">
        <v>91</v>
      </c>
      <c r="D25" s="18">
        <v>8.0</v>
      </c>
      <c r="E25" s="22" t="s">
        <v>25</v>
      </c>
      <c r="F25" s="17" t="s">
        <v>21</v>
      </c>
      <c r="G25" s="17" t="s">
        <v>15</v>
      </c>
      <c r="H25" s="18">
        <v>1030.0</v>
      </c>
      <c r="I25" s="20" t="s">
        <v>16</v>
      </c>
      <c r="J25" s="15" t="s">
        <v>201</v>
      </c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22.5" customHeight="1">
      <c r="A26" s="10" t="s">
        <v>92</v>
      </c>
      <c r="B26" s="11" t="s">
        <v>93</v>
      </c>
      <c r="C26" s="11" t="s">
        <v>94</v>
      </c>
      <c r="D26" s="12">
        <v>8.0</v>
      </c>
      <c r="E26" s="21" t="s">
        <v>25</v>
      </c>
      <c r="F26" s="11" t="s">
        <v>21</v>
      </c>
      <c r="G26" s="11" t="s">
        <v>15</v>
      </c>
      <c r="H26" s="12">
        <v>1030.0</v>
      </c>
      <c r="I26" s="14" t="s">
        <v>16</v>
      </c>
      <c r="J26" s="15" t="s">
        <v>201</v>
      </c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22.5" customHeight="1">
      <c r="A27" s="16" t="s">
        <v>95</v>
      </c>
      <c r="B27" s="17" t="s">
        <v>96</v>
      </c>
      <c r="C27" s="17" t="s">
        <v>97</v>
      </c>
      <c r="D27" s="18">
        <v>8.0</v>
      </c>
      <c r="E27" s="19" t="s">
        <v>13</v>
      </c>
      <c r="F27" s="17" t="s">
        <v>21</v>
      </c>
      <c r="G27" s="17" t="s">
        <v>29</v>
      </c>
      <c r="H27" s="18">
        <v>1031.0</v>
      </c>
      <c r="I27" s="20" t="s">
        <v>16</v>
      </c>
      <c r="J27" s="15" t="s">
        <v>201</v>
      </c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22.5" customHeight="1">
      <c r="A28" s="10" t="s">
        <v>98</v>
      </c>
      <c r="B28" s="11" t="s">
        <v>99</v>
      </c>
      <c r="C28" s="11" t="s">
        <v>100</v>
      </c>
      <c r="D28" s="12">
        <v>8.0</v>
      </c>
      <c r="E28" s="21" t="s">
        <v>25</v>
      </c>
      <c r="F28" s="11" t="s">
        <v>21</v>
      </c>
      <c r="G28" s="11" t="s">
        <v>51</v>
      </c>
      <c r="H28" s="12">
        <v>1030.0</v>
      </c>
      <c r="I28" s="14" t="s">
        <v>16</v>
      </c>
      <c r="J28" s="15" t="s">
        <v>201</v>
      </c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22.5" customHeight="1">
      <c r="A29" s="16" t="s">
        <v>101</v>
      </c>
      <c r="B29" s="17" t="s">
        <v>102</v>
      </c>
      <c r="C29" s="17" t="s">
        <v>103</v>
      </c>
      <c r="D29" s="18">
        <v>8.0</v>
      </c>
      <c r="E29" s="22" t="s">
        <v>25</v>
      </c>
      <c r="F29" s="17" t="s">
        <v>21</v>
      </c>
      <c r="G29" s="17" t="s">
        <v>15</v>
      </c>
      <c r="H29" s="18">
        <v>1030.0</v>
      </c>
      <c r="I29" s="20" t="s">
        <v>16</v>
      </c>
      <c r="J29" s="15" t="s">
        <v>201</v>
      </c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22.5" customHeight="1">
      <c r="A30" s="10" t="s">
        <v>104</v>
      </c>
      <c r="B30" s="11" t="s">
        <v>105</v>
      </c>
      <c r="C30" s="11" t="s">
        <v>106</v>
      </c>
      <c r="D30" s="12">
        <v>8.0</v>
      </c>
      <c r="E30" s="13" t="s">
        <v>13</v>
      </c>
      <c r="F30" s="11" t="s">
        <v>21</v>
      </c>
      <c r="G30" s="11" t="s">
        <v>15</v>
      </c>
      <c r="H30" s="12">
        <v>1031.0</v>
      </c>
      <c r="I30" s="14" t="s">
        <v>16</v>
      </c>
      <c r="J30" s="15" t="s">
        <v>201</v>
      </c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22.5" customHeight="1">
      <c r="A31" s="16" t="s">
        <v>107</v>
      </c>
      <c r="B31" s="17" t="s">
        <v>108</v>
      </c>
      <c r="C31" s="17" t="s">
        <v>109</v>
      </c>
      <c r="D31" s="18">
        <v>8.0</v>
      </c>
      <c r="E31" s="19" t="s">
        <v>13</v>
      </c>
      <c r="F31" s="17" t="s">
        <v>14</v>
      </c>
      <c r="G31" s="17" t="s">
        <v>15</v>
      </c>
      <c r="H31" s="18">
        <v>1031.0</v>
      </c>
      <c r="I31" s="20" t="s">
        <v>16</v>
      </c>
      <c r="J31" s="15" t="s">
        <v>201</v>
      </c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22.5" customHeight="1">
      <c r="A32" s="10" t="s">
        <v>110</v>
      </c>
      <c r="B32" s="11" t="s">
        <v>111</v>
      </c>
      <c r="C32" s="11" t="s">
        <v>66</v>
      </c>
      <c r="D32" s="12">
        <v>8.0</v>
      </c>
      <c r="E32" s="13" t="s">
        <v>13</v>
      </c>
      <c r="F32" s="11" t="s">
        <v>21</v>
      </c>
      <c r="G32" s="11" t="s">
        <v>15</v>
      </c>
      <c r="H32" s="12">
        <v>1030.0</v>
      </c>
      <c r="I32" s="14" t="s">
        <v>16</v>
      </c>
      <c r="J32" s="15" t="s">
        <v>201</v>
      </c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ht="22.5" customHeight="1">
      <c r="A33" s="16" t="s">
        <v>112</v>
      </c>
      <c r="B33" s="17" t="s">
        <v>113</v>
      </c>
      <c r="C33" s="17" t="s">
        <v>114</v>
      </c>
      <c r="D33" s="18">
        <v>8.0</v>
      </c>
      <c r="E33" s="22" t="s">
        <v>25</v>
      </c>
      <c r="F33" s="17" t="s">
        <v>21</v>
      </c>
      <c r="G33" s="17" t="s">
        <v>39</v>
      </c>
      <c r="H33" s="18">
        <v>1031.0</v>
      </c>
      <c r="I33" s="20" t="s">
        <v>16</v>
      </c>
      <c r="J33" s="15" t="s">
        <v>201</v>
      </c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ht="22.5" customHeight="1">
      <c r="A34" s="10" t="s">
        <v>115</v>
      </c>
      <c r="B34" s="11" t="s">
        <v>116</v>
      </c>
      <c r="C34" s="11" t="s">
        <v>117</v>
      </c>
      <c r="D34" s="12">
        <v>8.0</v>
      </c>
      <c r="E34" s="13" t="s">
        <v>13</v>
      </c>
      <c r="F34" s="11" t="s">
        <v>21</v>
      </c>
      <c r="G34" s="11" t="s">
        <v>39</v>
      </c>
      <c r="H34" s="12">
        <v>1031.0</v>
      </c>
      <c r="I34" s="14" t="s">
        <v>16</v>
      </c>
      <c r="J34" s="15" t="s">
        <v>201</v>
      </c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ht="22.5" customHeight="1">
      <c r="A35" s="16" t="s">
        <v>118</v>
      </c>
      <c r="B35" s="17" t="s">
        <v>119</v>
      </c>
      <c r="C35" s="17" t="s">
        <v>120</v>
      </c>
      <c r="D35" s="18">
        <v>8.0</v>
      </c>
      <c r="E35" s="22" t="s">
        <v>25</v>
      </c>
      <c r="F35" s="17" t="s">
        <v>21</v>
      </c>
      <c r="G35" s="17" t="s">
        <v>15</v>
      </c>
      <c r="H35" s="18">
        <v>1031.0</v>
      </c>
      <c r="I35" s="20" t="s">
        <v>16</v>
      </c>
      <c r="J35" s="15" t="s">
        <v>201</v>
      </c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ht="22.5" customHeight="1">
      <c r="A36" s="10" t="s">
        <v>121</v>
      </c>
      <c r="B36" s="11" t="s">
        <v>122</v>
      </c>
      <c r="C36" s="11" t="s">
        <v>123</v>
      </c>
      <c r="D36" s="12">
        <v>8.0</v>
      </c>
      <c r="E36" s="13" t="s">
        <v>13</v>
      </c>
      <c r="F36" s="11" t="s">
        <v>21</v>
      </c>
      <c r="G36" s="11" t="s">
        <v>15</v>
      </c>
      <c r="H36" s="12">
        <v>1031.0</v>
      </c>
      <c r="I36" s="14" t="s">
        <v>16</v>
      </c>
      <c r="J36" s="15" t="s">
        <v>201</v>
      </c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ht="22.5" customHeight="1">
      <c r="A37" s="16" t="s">
        <v>124</v>
      </c>
      <c r="B37" s="17" t="s">
        <v>125</v>
      </c>
      <c r="C37" s="17" t="s">
        <v>126</v>
      </c>
      <c r="D37" s="18">
        <v>8.0</v>
      </c>
      <c r="E37" s="22" t="s">
        <v>25</v>
      </c>
      <c r="F37" s="17" t="s">
        <v>21</v>
      </c>
      <c r="G37" s="17" t="s">
        <v>15</v>
      </c>
      <c r="H37" s="18">
        <v>1030.0</v>
      </c>
      <c r="I37" s="20" t="s">
        <v>16</v>
      </c>
      <c r="J37" s="15" t="s">
        <v>201</v>
      </c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22.5" customHeight="1">
      <c r="A38" s="10" t="s">
        <v>127</v>
      </c>
      <c r="B38" s="11" t="s">
        <v>128</v>
      </c>
      <c r="C38" s="11" t="s">
        <v>129</v>
      </c>
      <c r="D38" s="12">
        <v>8.0</v>
      </c>
      <c r="E38" s="13" t="s">
        <v>13</v>
      </c>
      <c r="F38" s="11" t="s">
        <v>21</v>
      </c>
      <c r="G38" s="11" t="s">
        <v>15</v>
      </c>
      <c r="H38" s="12">
        <v>1030.0</v>
      </c>
      <c r="I38" s="14" t="s">
        <v>16</v>
      </c>
      <c r="J38" s="15" t="s">
        <v>201</v>
      </c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ht="22.5" customHeight="1">
      <c r="A39" s="16" t="s">
        <v>130</v>
      </c>
      <c r="B39" s="17" t="s">
        <v>131</v>
      </c>
      <c r="C39" s="17" t="s">
        <v>132</v>
      </c>
      <c r="D39" s="18">
        <v>8.0</v>
      </c>
      <c r="E39" s="19" t="s">
        <v>13</v>
      </c>
      <c r="F39" s="17" t="s">
        <v>21</v>
      </c>
      <c r="G39" s="17" t="s">
        <v>15</v>
      </c>
      <c r="H39" s="18">
        <v>1031.0</v>
      </c>
      <c r="I39" s="20" t="s">
        <v>16</v>
      </c>
      <c r="J39" s="15" t="s">
        <v>201</v>
      </c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ht="22.5" customHeight="1">
      <c r="A40" s="10" t="s">
        <v>133</v>
      </c>
      <c r="B40" s="11" t="s">
        <v>134</v>
      </c>
      <c r="C40" s="11" t="s">
        <v>135</v>
      </c>
      <c r="D40" s="12">
        <v>8.0</v>
      </c>
      <c r="E40" s="13" t="s">
        <v>13</v>
      </c>
      <c r="F40" s="11" t="s">
        <v>21</v>
      </c>
      <c r="G40" s="11" t="s">
        <v>136</v>
      </c>
      <c r="H40" s="12">
        <v>1030.0</v>
      </c>
      <c r="I40" s="14" t="s">
        <v>16</v>
      </c>
      <c r="J40" s="15" t="s">
        <v>201</v>
      </c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ht="22.5" customHeight="1">
      <c r="A41" s="16" t="s">
        <v>137</v>
      </c>
      <c r="B41" s="17" t="s">
        <v>138</v>
      </c>
      <c r="C41" s="17" t="s">
        <v>139</v>
      </c>
      <c r="D41" s="18">
        <v>8.0</v>
      </c>
      <c r="E41" s="22" t="s">
        <v>25</v>
      </c>
      <c r="F41" s="17" t="s">
        <v>21</v>
      </c>
      <c r="G41" s="17" t="s">
        <v>15</v>
      </c>
      <c r="H41" s="18">
        <v>1031.0</v>
      </c>
      <c r="I41" s="20" t="s">
        <v>16</v>
      </c>
      <c r="J41" s="15" t="s">
        <v>201</v>
      </c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ht="22.5" customHeight="1">
      <c r="A42" s="10" t="s">
        <v>140</v>
      </c>
      <c r="B42" s="11" t="s">
        <v>141</v>
      </c>
      <c r="C42" s="11" t="s">
        <v>142</v>
      </c>
      <c r="D42" s="12">
        <v>8.0</v>
      </c>
      <c r="E42" s="21" t="s">
        <v>25</v>
      </c>
      <c r="F42" s="11" t="s">
        <v>21</v>
      </c>
      <c r="G42" s="11" t="s">
        <v>29</v>
      </c>
      <c r="H42" s="12">
        <v>1031.0</v>
      </c>
      <c r="I42" s="14" t="s">
        <v>16</v>
      </c>
      <c r="J42" s="15" t="s">
        <v>201</v>
      </c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ht="22.5" customHeight="1">
      <c r="A43" s="16" t="s">
        <v>143</v>
      </c>
      <c r="B43" s="17" t="s">
        <v>144</v>
      </c>
      <c r="C43" s="17" t="s">
        <v>145</v>
      </c>
      <c r="D43" s="18">
        <v>8.0</v>
      </c>
      <c r="E43" s="22" t="s">
        <v>25</v>
      </c>
      <c r="F43" s="17" t="s">
        <v>21</v>
      </c>
      <c r="G43" s="17" t="s">
        <v>146</v>
      </c>
      <c r="H43" s="18">
        <v>1031.0</v>
      </c>
      <c r="I43" s="20" t="s">
        <v>16</v>
      </c>
      <c r="J43" s="15" t="s">
        <v>201</v>
      </c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ht="22.5" customHeight="1">
      <c r="A44" s="10" t="s">
        <v>147</v>
      </c>
      <c r="B44" s="11" t="s">
        <v>148</v>
      </c>
      <c r="C44" s="11" t="s">
        <v>149</v>
      </c>
      <c r="D44" s="12">
        <v>8.0</v>
      </c>
      <c r="E44" s="13" t="s">
        <v>13</v>
      </c>
      <c r="F44" s="11" t="s">
        <v>21</v>
      </c>
      <c r="G44" s="11" t="s">
        <v>15</v>
      </c>
      <c r="H44" s="12">
        <v>1031.0</v>
      </c>
      <c r="I44" s="14" t="s">
        <v>16</v>
      </c>
      <c r="J44" s="15" t="s">
        <v>201</v>
      </c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ht="22.5" customHeight="1">
      <c r="A45" s="16" t="s">
        <v>150</v>
      </c>
      <c r="B45" s="17" t="s">
        <v>151</v>
      </c>
      <c r="C45" s="17" t="s">
        <v>152</v>
      </c>
      <c r="D45" s="18">
        <v>8.0</v>
      </c>
      <c r="E45" s="22" t="s">
        <v>25</v>
      </c>
      <c r="F45" s="17" t="s">
        <v>21</v>
      </c>
      <c r="G45" s="17" t="s">
        <v>29</v>
      </c>
      <c r="H45" s="18">
        <v>1030.0</v>
      </c>
      <c r="I45" s="20" t="s">
        <v>16</v>
      </c>
      <c r="J45" s="15" t="s">
        <v>201</v>
      </c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ht="22.5" customHeight="1">
      <c r="A46" s="10" t="s">
        <v>153</v>
      </c>
      <c r="B46" s="11" t="s">
        <v>154</v>
      </c>
      <c r="C46" s="11" t="s">
        <v>155</v>
      </c>
      <c r="D46" s="12">
        <v>8.0</v>
      </c>
      <c r="E46" s="13" t="s">
        <v>13</v>
      </c>
      <c r="F46" s="11" t="s">
        <v>21</v>
      </c>
      <c r="G46" s="11" t="s">
        <v>15</v>
      </c>
      <c r="H46" s="12">
        <v>1031.0</v>
      </c>
      <c r="I46" s="14" t="s">
        <v>16</v>
      </c>
      <c r="J46" s="15" t="s">
        <v>201</v>
      </c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ht="22.5" customHeight="1">
      <c r="A47" s="16" t="s">
        <v>156</v>
      </c>
      <c r="B47" s="17" t="s">
        <v>157</v>
      </c>
      <c r="C47" s="17" t="s">
        <v>158</v>
      </c>
      <c r="D47" s="18">
        <v>8.0</v>
      </c>
      <c r="E47" s="19" t="s">
        <v>13</v>
      </c>
      <c r="F47" s="17" t="s">
        <v>21</v>
      </c>
      <c r="G47" s="17" t="s">
        <v>15</v>
      </c>
      <c r="H47" s="18">
        <v>1031.0</v>
      </c>
      <c r="I47" s="20" t="s">
        <v>16</v>
      </c>
      <c r="J47" s="15" t="s">
        <v>201</v>
      </c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ht="22.5" customHeight="1">
      <c r="A48" s="10" t="s">
        <v>159</v>
      </c>
      <c r="B48" s="11" t="s">
        <v>160</v>
      </c>
      <c r="C48" s="11" t="s">
        <v>161</v>
      </c>
      <c r="D48" s="12">
        <v>8.0</v>
      </c>
      <c r="E48" s="13" t="s">
        <v>13</v>
      </c>
      <c r="F48" s="11" t="s">
        <v>21</v>
      </c>
      <c r="G48" s="11" t="s">
        <v>15</v>
      </c>
      <c r="H48" s="12">
        <v>1030.0</v>
      </c>
      <c r="I48" s="14" t="s">
        <v>16</v>
      </c>
      <c r="J48" s="15" t="s">
        <v>201</v>
      </c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ht="22.5" customHeight="1">
      <c r="A49" s="16" t="s">
        <v>162</v>
      </c>
      <c r="B49" s="17" t="s">
        <v>163</v>
      </c>
      <c r="C49" s="17" t="s">
        <v>164</v>
      </c>
      <c r="D49" s="18">
        <v>8.0</v>
      </c>
      <c r="E49" s="19" t="s">
        <v>13</v>
      </c>
      <c r="F49" s="17" t="s">
        <v>21</v>
      </c>
      <c r="G49" s="17" t="s">
        <v>15</v>
      </c>
      <c r="H49" s="18">
        <v>1031.0</v>
      </c>
      <c r="I49" s="20" t="s">
        <v>16</v>
      </c>
      <c r="J49" s="15" t="s">
        <v>201</v>
      </c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ht="22.5" customHeight="1">
      <c r="A50" s="10" t="s">
        <v>165</v>
      </c>
      <c r="B50" s="11" t="s">
        <v>166</v>
      </c>
      <c r="C50" s="11" t="s">
        <v>167</v>
      </c>
      <c r="D50" s="12">
        <v>8.0</v>
      </c>
      <c r="E50" s="13" t="s">
        <v>13</v>
      </c>
      <c r="F50" s="11" t="s">
        <v>21</v>
      </c>
      <c r="G50" s="11" t="s">
        <v>15</v>
      </c>
      <c r="H50" s="12">
        <v>1030.0</v>
      </c>
      <c r="I50" s="14" t="s">
        <v>16</v>
      </c>
      <c r="J50" s="15" t="s">
        <v>201</v>
      </c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ht="22.5" customHeight="1">
      <c r="A51" s="16" t="s">
        <v>168</v>
      </c>
      <c r="B51" s="17" t="s">
        <v>169</v>
      </c>
      <c r="C51" s="17" t="s">
        <v>170</v>
      </c>
      <c r="D51" s="18">
        <v>8.0</v>
      </c>
      <c r="E51" s="19" t="s">
        <v>13</v>
      </c>
      <c r="F51" s="17" t="s">
        <v>21</v>
      </c>
      <c r="G51" s="17" t="s">
        <v>15</v>
      </c>
      <c r="H51" s="18">
        <v>1030.0</v>
      </c>
      <c r="I51" s="20" t="s">
        <v>16</v>
      </c>
      <c r="J51" s="15" t="s">
        <v>201</v>
      </c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ht="22.5" customHeight="1">
      <c r="A52" s="10" t="s">
        <v>171</v>
      </c>
      <c r="B52" s="11" t="s">
        <v>172</v>
      </c>
      <c r="C52" s="11" t="s">
        <v>173</v>
      </c>
      <c r="D52" s="12">
        <v>8.0</v>
      </c>
      <c r="E52" s="13" t="s">
        <v>13</v>
      </c>
      <c r="F52" s="11" t="s">
        <v>14</v>
      </c>
      <c r="G52" s="11" t="s">
        <v>174</v>
      </c>
      <c r="H52" s="12">
        <v>1030.0</v>
      </c>
      <c r="I52" s="14" t="s">
        <v>16</v>
      </c>
      <c r="J52" s="15" t="s">
        <v>201</v>
      </c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ht="22.5" customHeight="1">
      <c r="A53" s="16" t="s">
        <v>175</v>
      </c>
      <c r="B53" s="17" t="s">
        <v>176</v>
      </c>
      <c r="C53" s="17" t="s">
        <v>177</v>
      </c>
      <c r="D53" s="18">
        <v>8.0</v>
      </c>
      <c r="E53" s="19" t="s">
        <v>13</v>
      </c>
      <c r="F53" s="17" t="s">
        <v>21</v>
      </c>
      <c r="G53" s="17" t="s">
        <v>15</v>
      </c>
      <c r="H53" s="18">
        <v>1031.0</v>
      </c>
      <c r="I53" s="20" t="s">
        <v>16</v>
      </c>
      <c r="J53" s="15" t="s">
        <v>201</v>
      </c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ht="22.5" customHeight="1">
      <c r="A54" s="10" t="s">
        <v>178</v>
      </c>
      <c r="B54" s="11" t="s">
        <v>179</v>
      </c>
      <c r="C54" s="11" t="s">
        <v>180</v>
      </c>
      <c r="D54" s="12">
        <v>8.0</v>
      </c>
      <c r="E54" s="13" t="s">
        <v>13</v>
      </c>
      <c r="F54" s="11" t="s">
        <v>21</v>
      </c>
      <c r="G54" s="11" t="s">
        <v>29</v>
      </c>
      <c r="H54" s="12">
        <v>1030.0</v>
      </c>
      <c r="I54" s="14" t="s">
        <v>16</v>
      </c>
      <c r="J54" s="15" t="s">
        <v>201</v>
      </c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ht="22.5" customHeight="1">
      <c r="A55" s="16" t="s">
        <v>181</v>
      </c>
      <c r="B55" s="17" t="s">
        <v>182</v>
      </c>
      <c r="C55" s="17" t="s">
        <v>183</v>
      </c>
      <c r="D55" s="18">
        <v>8.0</v>
      </c>
      <c r="E55" s="19" t="s">
        <v>13</v>
      </c>
      <c r="F55" s="17" t="s">
        <v>21</v>
      </c>
      <c r="G55" s="17" t="s">
        <v>15</v>
      </c>
      <c r="H55" s="18">
        <v>1031.0</v>
      </c>
      <c r="I55" s="20" t="s">
        <v>16</v>
      </c>
      <c r="J55" s="15" t="s">
        <v>201</v>
      </c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ht="22.5" customHeight="1">
      <c r="A56" s="10" t="s">
        <v>184</v>
      </c>
      <c r="B56" s="11" t="s">
        <v>185</v>
      </c>
      <c r="C56" s="11" t="s">
        <v>186</v>
      </c>
      <c r="D56" s="12">
        <v>8.0</v>
      </c>
      <c r="E56" s="13" t="s">
        <v>13</v>
      </c>
      <c r="F56" s="11" t="s">
        <v>21</v>
      </c>
      <c r="G56" s="11" t="s">
        <v>15</v>
      </c>
      <c r="H56" s="12">
        <v>1031.0</v>
      </c>
      <c r="I56" s="14" t="s">
        <v>16</v>
      </c>
      <c r="J56" s="15" t="s">
        <v>201</v>
      </c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ht="22.5" customHeight="1">
      <c r="A57" s="16" t="s">
        <v>187</v>
      </c>
      <c r="B57" s="17" t="s">
        <v>188</v>
      </c>
      <c r="C57" s="17" t="s">
        <v>189</v>
      </c>
      <c r="D57" s="18">
        <v>8.0</v>
      </c>
      <c r="E57" s="19" t="s">
        <v>13</v>
      </c>
      <c r="F57" s="17" t="s">
        <v>21</v>
      </c>
      <c r="G57" s="17" t="s">
        <v>15</v>
      </c>
      <c r="H57" s="18">
        <v>1030.0</v>
      </c>
      <c r="I57" s="20" t="s">
        <v>16</v>
      </c>
      <c r="J57" s="15" t="s">
        <v>201</v>
      </c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ht="22.5" customHeight="1">
      <c r="A58" s="10" t="s">
        <v>190</v>
      </c>
      <c r="B58" s="11" t="s">
        <v>191</v>
      </c>
      <c r="C58" s="11" t="s">
        <v>192</v>
      </c>
      <c r="D58" s="12">
        <v>8.0</v>
      </c>
      <c r="E58" s="13" t="s">
        <v>13</v>
      </c>
      <c r="F58" s="11" t="s">
        <v>21</v>
      </c>
      <c r="G58" s="11" t="s">
        <v>15</v>
      </c>
      <c r="H58" s="12">
        <v>1030.0</v>
      </c>
      <c r="I58" s="14" t="s">
        <v>16</v>
      </c>
      <c r="J58" s="15" t="s">
        <v>201</v>
      </c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ht="22.5" customHeight="1">
      <c r="A59" s="16" t="s">
        <v>193</v>
      </c>
      <c r="B59" s="17" t="s">
        <v>194</v>
      </c>
      <c r="C59" s="17" t="s">
        <v>195</v>
      </c>
      <c r="D59" s="18">
        <v>8.0</v>
      </c>
      <c r="E59" s="19" t="s">
        <v>13</v>
      </c>
      <c r="F59" s="17" t="s">
        <v>21</v>
      </c>
      <c r="G59" s="17" t="s">
        <v>15</v>
      </c>
      <c r="H59" s="18">
        <v>1030.0</v>
      </c>
      <c r="I59" s="20" t="s">
        <v>16</v>
      </c>
      <c r="J59" s="15" t="s">
        <v>201</v>
      </c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ht="22.5" customHeight="1">
      <c r="A60" s="10" t="s">
        <v>196</v>
      </c>
      <c r="B60" s="11" t="s">
        <v>197</v>
      </c>
      <c r="C60" s="11" t="s">
        <v>132</v>
      </c>
      <c r="D60" s="12">
        <v>8.0</v>
      </c>
      <c r="E60" s="13" t="s">
        <v>13</v>
      </c>
      <c r="F60" s="11" t="s">
        <v>21</v>
      </c>
      <c r="G60" s="11" t="s">
        <v>15</v>
      </c>
      <c r="H60" s="12">
        <v>1031.0</v>
      </c>
      <c r="I60" s="14" t="s">
        <v>16</v>
      </c>
      <c r="J60" s="15" t="s">
        <v>201</v>
      </c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ht="22.5" customHeight="1">
      <c r="A61" s="23" t="s">
        <v>198</v>
      </c>
      <c r="B61" s="24" t="s">
        <v>199</v>
      </c>
      <c r="C61" s="24" t="s">
        <v>200</v>
      </c>
      <c r="D61" s="25">
        <v>8.0</v>
      </c>
      <c r="E61" s="26" t="s">
        <v>25</v>
      </c>
      <c r="F61" s="24" t="s">
        <v>21</v>
      </c>
      <c r="G61" s="24" t="s">
        <v>39</v>
      </c>
      <c r="H61" s="25">
        <v>1030.0</v>
      </c>
      <c r="I61" s="27" t="s">
        <v>16</v>
      </c>
      <c r="J61" s="15" t="s">
        <v>201</v>
      </c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dataValidations>
    <dataValidation type="list" allowBlank="1" showDropDown="1" showErrorMessage="1" sqref="E2:E61">
      <formula1>"M,F"</formula1>
    </dataValidation>
    <dataValidation type="custom" allowBlank="1" showDropDown="1" sqref="D2:D61 H2:H61">
      <formula1>AND(ISNUMBER(D2),(NOT(OR(NOT(ISERROR(DATEVALUE(D2))), AND(ISNUMBER(D2), LEFT(CELL("format", D2))="D")))))</formula1>
    </dataValidation>
    <dataValidation allowBlank="1" showDropDown="1" sqref="A2:C61 F2:G61 I2:I61"/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4.71"/>
    <col customWidth="1" min="2" max="2" width="22.86"/>
    <col customWidth="1" min="3" max="3" width="19.86"/>
    <col customWidth="1" min="4" max="4" width="15.57"/>
    <col customWidth="1" min="5" max="5" width="8.0"/>
    <col customWidth="1" min="6" max="6" width="37.14"/>
    <col customWidth="1" min="7" max="7" width="30.14"/>
    <col customWidth="1" min="8" max="8" width="18.0"/>
    <col customWidth="1" min="9" max="9" width="19.0"/>
    <col customWidth="1" min="10" max="10" width="21.14"/>
    <col customWidth="1" min="11" max="26" width="8.71"/>
  </cols>
  <sheetData>
    <row r="1" ht="12.75" customHeight="1">
      <c r="A1" s="28" t="s">
        <v>0</v>
      </c>
      <c r="B1" s="28" t="s">
        <v>1</v>
      </c>
      <c r="C1" s="28" t="s">
        <v>2</v>
      </c>
      <c r="D1" s="29" t="s">
        <v>3</v>
      </c>
      <c r="E1" s="30" t="s">
        <v>4</v>
      </c>
      <c r="F1" s="28" t="s">
        <v>5</v>
      </c>
      <c r="G1" s="28" t="s">
        <v>6</v>
      </c>
      <c r="H1" s="29" t="s">
        <v>7</v>
      </c>
      <c r="I1" s="28" t="s">
        <v>8</v>
      </c>
      <c r="J1" s="31" t="s">
        <v>9</v>
      </c>
    </row>
    <row r="2" ht="12.75" customHeight="1">
      <c r="A2" s="32" t="s">
        <v>202</v>
      </c>
      <c r="B2" s="32" t="s">
        <v>11</v>
      </c>
      <c r="C2" s="32" t="s">
        <v>203</v>
      </c>
      <c r="D2" s="33">
        <v>8.0</v>
      </c>
      <c r="E2" s="34" t="s">
        <v>13</v>
      </c>
      <c r="F2" s="32" t="s">
        <v>14</v>
      </c>
      <c r="G2" s="34" t="s">
        <v>15</v>
      </c>
      <c r="H2" s="33">
        <v>1053.0</v>
      </c>
      <c r="I2" s="32" t="s">
        <v>16</v>
      </c>
      <c r="J2" s="35" t="s">
        <v>204</v>
      </c>
    </row>
    <row r="3" ht="12.75" customHeight="1">
      <c r="A3" s="32" t="s">
        <v>205</v>
      </c>
      <c r="B3" s="32" t="s">
        <v>206</v>
      </c>
      <c r="C3" s="32" t="s">
        <v>207</v>
      </c>
      <c r="D3" s="33">
        <v>8.0</v>
      </c>
      <c r="E3" s="34" t="s">
        <v>13</v>
      </c>
      <c r="F3" s="32" t="s">
        <v>21</v>
      </c>
      <c r="G3" s="34" t="s">
        <v>15</v>
      </c>
      <c r="H3" s="33">
        <v>1054.0</v>
      </c>
      <c r="I3" s="32" t="s">
        <v>16</v>
      </c>
      <c r="J3" s="35" t="s">
        <v>204</v>
      </c>
    </row>
    <row r="4" ht="12.75" customHeight="1">
      <c r="A4" s="32" t="s">
        <v>208</v>
      </c>
      <c r="B4" s="32" t="s">
        <v>209</v>
      </c>
      <c r="C4" s="32" t="s">
        <v>210</v>
      </c>
      <c r="D4" s="33">
        <v>8.0</v>
      </c>
      <c r="E4" s="34" t="s">
        <v>13</v>
      </c>
      <c r="F4" s="32" t="s">
        <v>21</v>
      </c>
      <c r="G4" s="34" t="s">
        <v>15</v>
      </c>
      <c r="H4" s="33">
        <v>1054.0</v>
      </c>
      <c r="I4" s="32" t="s">
        <v>16</v>
      </c>
      <c r="J4" s="35" t="s">
        <v>204</v>
      </c>
    </row>
    <row r="5" ht="12.75" customHeight="1">
      <c r="A5" s="32" t="s">
        <v>211</v>
      </c>
      <c r="B5" s="32" t="s">
        <v>212</v>
      </c>
      <c r="C5" s="32" t="s">
        <v>213</v>
      </c>
      <c r="D5" s="33">
        <v>8.0</v>
      </c>
      <c r="E5" s="34" t="s">
        <v>13</v>
      </c>
      <c r="F5" s="32" t="s">
        <v>21</v>
      </c>
      <c r="G5" s="34" t="s">
        <v>15</v>
      </c>
      <c r="H5" s="33">
        <v>1053.0</v>
      </c>
      <c r="I5" s="32" t="s">
        <v>16</v>
      </c>
      <c r="J5" s="35" t="s">
        <v>204</v>
      </c>
    </row>
    <row r="6" ht="12.75" customHeight="1">
      <c r="A6" s="32" t="s">
        <v>214</v>
      </c>
      <c r="B6" s="32" t="s">
        <v>215</v>
      </c>
      <c r="C6" s="32" t="s">
        <v>216</v>
      </c>
      <c r="D6" s="33">
        <v>8.0</v>
      </c>
      <c r="E6" s="34" t="s">
        <v>25</v>
      </c>
      <c r="F6" s="32" t="s">
        <v>21</v>
      </c>
      <c r="G6" s="34" t="s">
        <v>15</v>
      </c>
      <c r="H6" s="33">
        <v>1053.0</v>
      </c>
      <c r="I6" s="32" t="s">
        <v>16</v>
      </c>
      <c r="J6" s="35" t="s">
        <v>204</v>
      </c>
    </row>
    <row r="7" ht="12.75" customHeight="1">
      <c r="A7" s="32" t="s">
        <v>217</v>
      </c>
      <c r="B7" s="32" t="s">
        <v>218</v>
      </c>
      <c r="C7" s="32" t="s">
        <v>219</v>
      </c>
      <c r="D7" s="33">
        <v>8.0</v>
      </c>
      <c r="E7" s="34" t="s">
        <v>13</v>
      </c>
      <c r="F7" s="32" t="s">
        <v>21</v>
      </c>
      <c r="G7" s="34" t="s">
        <v>15</v>
      </c>
      <c r="H7" s="33">
        <v>1054.0</v>
      </c>
      <c r="I7" s="32" t="s">
        <v>16</v>
      </c>
      <c r="J7" s="35" t="s">
        <v>204</v>
      </c>
    </row>
    <row r="8" ht="12.75" customHeight="1">
      <c r="A8" s="32" t="s">
        <v>220</v>
      </c>
      <c r="B8" s="32" t="s">
        <v>221</v>
      </c>
      <c r="C8" s="32" t="s">
        <v>222</v>
      </c>
      <c r="D8" s="33">
        <v>8.0</v>
      </c>
      <c r="E8" s="34" t="s">
        <v>25</v>
      </c>
      <c r="F8" s="32" t="s">
        <v>21</v>
      </c>
      <c r="G8" s="34" t="s">
        <v>15</v>
      </c>
      <c r="H8" s="33">
        <v>1054.0</v>
      </c>
      <c r="I8" s="32" t="s">
        <v>16</v>
      </c>
      <c r="J8" s="35" t="s">
        <v>204</v>
      </c>
    </row>
    <row r="9" ht="12.75" customHeight="1">
      <c r="A9" s="32" t="s">
        <v>223</v>
      </c>
      <c r="B9" s="32" t="s">
        <v>34</v>
      </c>
      <c r="C9" s="32" t="s">
        <v>224</v>
      </c>
      <c r="D9" s="33">
        <v>8.0</v>
      </c>
      <c r="E9" s="34" t="s">
        <v>25</v>
      </c>
      <c r="F9" s="32" t="s">
        <v>21</v>
      </c>
      <c r="G9" s="34" t="s">
        <v>15</v>
      </c>
      <c r="H9" s="33">
        <v>1054.0</v>
      </c>
      <c r="I9" s="32" t="s">
        <v>16</v>
      </c>
      <c r="J9" s="35" t="s">
        <v>204</v>
      </c>
    </row>
    <row r="10" ht="12.75" customHeight="1">
      <c r="A10" s="32" t="s">
        <v>225</v>
      </c>
      <c r="B10" s="32" t="s">
        <v>226</v>
      </c>
      <c r="C10" s="32" t="s">
        <v>227</v>
      </c>
      <c r="D10" s="33">
        <v>8.0</v>
      </c>
      <c r="E10" s="34" t="s">
        <v>13</v>
      </c>
      <c r="F10" s="32" t="s">
        <v>14</v>
      </c>
      <c r="G10" s="34" t="s">
        <v>228</v>
      </c>
      <c r="H10" s="33">
        <v>1054.0</v>
      </c>
      <c r="I10" s="32" t="s">
        <v>16</v>
      </c>
      <c r="J10" s="35" t="s">
        <v>204</v>
      </c>
    </row>
    <row r="11" ht="12.75" customHeight="1">
      <c r="A11" s="32" t="s">
        <v>229</v>
      </c>
      <c r="B11" s="32" t="s">
        <v>44</v>
      </c>
      <c r="C11" s="32" t="s">
        <v>230</v>
      </c>
      <c r="D11" s="33">
        <v>8.0</v>
      </c>
      <c r="E11" s="34" t="s">
        <v>13</v>
      </c>
      <c r="F11" s="32" t="s">
        <v>21</v>
      </c>
      <c r="G11" s="34" t="s">
        <v>15</v>
      </c>
      <c r="H11" s="33">
        <v>1054.0</v>
      </c>
      <c r="I11" s="32" t="s">
        <v>16</v>
      </c>
      <c r="J11" s="35" t="s">
        <v>204</v>
      </c>
    </row>
    <row r="12" ht="12.75" customHeight="1">
      <c r="A12" s="32" t="s">
        <v>231</v>
      </c>
      <c r="B12" s="32" t="s">
        <v>232</v>
      </c>
      <c r="C12" s="32" t="s">
        <v>233</v>
      </c>
      <c r="D12" s="33">
        <v>8.0</v>
      </c>
      <c r="E12" s="34" t="s">
        <v>13</v>
      </c>
      <c r="F12" s="32" t="s">
        <v>14</v>
      </c>
      <c r="G12" s="34" t="s">
        <v>15</v>
      </c>
      <c r="H12" s="33">
        <v>1053.0</v>
      </c>
      <c r="I12" s="32" t="s">
        <v>16</v>
      </c>
      <c r="J12" s="35" t="s">
        <v>204</v>
      </c>
    </row>
    <row r="13" ht="12.75" customHeight="1">
      <c r="A13" s="32" t="s">
        <v>234</v>
      </c>
      <c r="B13" s="32" t="s">
        <v>235</v>
      </c>
      <c r="C13" s="32" t="s">
        <v>236</v>
      </c>
      <c r="D13" s="33">
        <v>8.0</v>
      </c>
      <c r="E13" s="34" t="s">
        <v>25</v>
      </c>
      <c r="F13" s="32" t="s">
        <v>21</v>
      </c>
      <c r="G13" s="34" t="s">
        <v>15</v>
      </c>
      <c r="H13" s="33">
        <v>1054.0</v>
      </c>
      <c r="I13" s="32" t="s">
        <v>16</v>
      </c>
      <c r="J13" s="35" t="s">
        <v>204</v>
      </c>
    </row>
    <row r="14" ht="12.75" customHeight="1">
      <c r="A14" s="32" t="s">
        <v>237</v>
      </c>
      <c r="B14" s="32" t="s">
        <v>65</v>
      </c>
      <c r="C14" s="32" t="s">
        <v>238</v>
      </c>
      <c r="D14" s="33">
        <v>8.0</v>
      </c>
      <c r="E14" s="34" t="s">
        <v>25</v>
      </c>
      <c r="F14" s="32" t="s">
        <v>21</v>
      </c>
      <c r="G14" s="34" t="s">
        <v>15</v>
      </c>
      <c r="H14" s="33">
        <v>1053.0</v>
      </c>
      <c r="I14" s="32" t="s">
        <v>16</v>
      </c>
      <c r="J14" s="35" t="s">
        <v>204</v>
      </c>
    </row>
    <row r="15" ht="12.75" customHeight="1">
      <c r="A15" s="32" t="s">
        <v>239</v>
      </c>
      <c r="B15" s="32" t="s">
        <v>240</v>
      </c>
      <c r="C15" s="32" t="s">
        <v>241</v>
      </c>
      <c r="D15" s="33">
        <v>8.0</v>
      </c>
      <c r="E15" s="34" t="s">
        <v>13</v>
      </c>
      <c r="F15" s="32" t="s">
        <v>21</v>
      </c>
      <c r="G15" s="34" t="s">
        <v>15</v>
      </c>
      <c r="H15" s="33">
        <v>1053.0</v>
      </c>
      <c r="I15" s="32" t="s">
        <v>16</v>
      </c>
      <c r="J15" s="35" t="s">
        <v>204</v>
      </c>
    </row>
    <row r="16" ht="12.75" customHeight="1">
      <c r="A16" s="32" t="s">
        <v>242</v>
      </c>
      <c r="B16" s="32" t="s">
        <v>68</v>
      </c>
      <c r="C16" s="32" t="s">
        <v>243</v>
      </c>
      <c r="D16" s="33">
        <v>8.0</v>
      </c>
      <c r="E16" s="34" t="s">
        <v>13</v>
      </c>
      <c r="F16" s="32" t="s">
        <v>21</v>
      </c>
      <c r="G16" s="34" t="s">
        <v>15</v>
      </c>
      <c r="H16" s="33">
        <v>1053.0</v>
      </c>
      <c r="I16" s="32" t="s">
        <v>16</v>
      </c>
      <c r="J16" s="35" t="s">
        <v>204</v>
      </c>
    </row>
    <row r="17" ht="12.75" customHeight="1">
      <c r="A17" s="32" t="s">
        <v>244</v>
      </c>
      <c r="B17" s="32" t="s">
        <v>245</v>
      </c>
      <c r="C17" s="32" t="s">
        <v>106</v>
      </c>
      <c r="D17" s="33">
        <v>8.0</v>
      </c>
      <c r="E17" s="34" t="s">
        <v>13</v>
      </c>
      <c r="F17" s="32" t="s">
        <v>21</v>
      </c>
      <c r="G17" s="34" t="s">
        <v>15</v>
      </c>
      <c r="H17" s="33">
        <v>1054.0</v>
      </c>
      <c r="I17" s="32" t="s">
        <v>16</v>
      </c>
      <c r="J17" s="35" t="s">
        <v>204</v>
      </c>
    </row>
    <row r="18" ht="12.75" customHeight="1">
      <c r="A18" s="32" t="s">
        <v>246</v>
      </c>
      <c r="B18" s="32" t="s">
        <v>84</v>
      </c>
      <c r="C18" s="32" t="s">
        <v>247</v>
      </c>
      <c r="D18" s="33">
        <v>8.0</v>
      </c>
      <c r="E18" s="34" t="s">
        <v>13</v>
      </c>
      <c r="F18" s="32" t="s">
        <v>21</v>
      </c>
      <c r="G18" s="34" t="s">
        <v>15</v>
      </c>
      <c r="H18" s="33">
        <v>1053.0</v>
      </c>
      <c r="I18" s="32" t="s">
        <v>16</v>
      </c>
      <c r="J18" s="35" t="s">
        <v>204</v>
      </c>
    </row>
    <row r="19" ht="12.75" customHeight="1">
      <c r="A19" s="32" t="s">
        <v>248</v>
      </c>
      <c r="B19" s="32" t="s">
        <v>249</v>
      </c>
      <c r="C19" s="32" t="s">
        <v>32</v>
      </c>
      <c r="D19" s="33">
        <v>8.0</v>
      </c>
      <c r="E19" s="34" t="s">
        <v>13</v>
      </c>
      <c r="F19" s="32" t="s">
        <v>21</v>
      </c>
      <c r="G19" s="34" t="s">
        <v>15</v>
      </c>
      <c r="H19" s="33">
        <v>1054.0</v>
      </c>
      <c r="I19" s="32" t="s">
        <v>16</v>
      </c>
      <c r="J19" s="35" t="s">
        <v>204</v>
      </c>
    </row>
    <row r="20" ht="12.75" customHeight="1">
      <c r="A20" s="32" t="s">
        <v>250</v>
      </c>
      <c r="B20" s="32" t="s">
        <v>251</v>
      </c>
      <c r="C20" s="32" t="s">
        <v>195</v>
      </c>
      <c r="D20" s="33">
        <v>8.0</v>
      </c>
      <c r="E20" s="34" t="s">
        <v>13</v>
      </c>
      <c r="F20" s="32" t="s">
        <v>21</v>
      </c>
      <c r="G20" s="34" t="s">
        <v>15</v>
      </c>
      <c r="H20" s="33">
        <v>1054.0</v>
      </c>
      <c r="I20" s="32" t="s">
        <v>16</v>
      </c>
      <c r="J20" s="35" t="s">
        <v>204</v>
      </c>
    </row>
    <row r="21" ht="12.75" customHeight="1">
      <c r="A21" s="32" t="s">
        <v>252</v>
      </c>
      <c r="B21" s="32" t="s">
        <v>253</v>
      </c>
      <c r="C21" s="32" t="s">
        <v>173</v>
      </c>
      <c r="D21" s="33">
        <v>8.0</v>
      </c>
      <c r="E21" s="34" t="s">
        <v>13</v>
      </c>
      <c r="F21" s="32" t="s">
        <v>14</v>
      </c>
      <c r="G21" s="34" t="s">
        <v>51</v>
      </c>
      <c r="H21" s="33">
        <v>1053.0</v>
      </c>
      <c r="I21" s="32" t="s">
        <v>16</v>
      </c>
      <c r="J21" s="35" t="s">
        <v>204</v>
      </c>
    </row>
    <row r="22" ht="12.75" customHeight="1">
      <c r="A22" s="32" t="s">
        <v>254</v>
      </c>
      <c r="B22" s="32" t="s">
        <v>255</v>
      </c>
      <c r="C22" s="32" t="s">
        <v>256</v>
      </c>
      <c r="D22" s="33">
        <v>8.0</v>
      </c>
      <c r="E22" s="34" t="s">
        <v>13</v>
      </c>
      <c r="F22" s="32" t="s">
        <v>21</v>
      </c>
      <c r="G22" s="34" t="s">
        <v>15</v>
      </c>
      <c r="H22" s="33">
        <v>1054.0</v>
      </c>
      <c r="I22" s="32" t="s">
        <v>16</v>
      </c>
      <c r="J22" s="35" t="s">
        <v>204</v>
      </c>
    </row>
    <row r="23" ht="12.75" customHeight="1">
      <c r="A23" s="32" t="s">
        <v>257</v>
      </c>
      <c r="B23" s="32" t="s">
        <v>258</v>
      </c>
      <c r="C23" s="32" t="s">
        <v>259</v>
      </c>
      <c r="D23" s="33">
        <v>8.0</v>
      </c>
      <c r="E23" s="34" t="s">
        <v>25</v>
      </c>
      <c r="F23" s="32" t="s">
        <v>21</v>
      </c>
      <c r="G23" s="34" t="s">
        <v>15</v>
      </c>
      <c r="H23" s="33">
        <v>1054.0</v>
      </c>
      <c r="I23" s="32" t="s">
        <v>16</v>
      </c>
      <c r="J23" s="35" t="s">
        <v>204</v>
      </c>
    </row>
    <row r="24" ht="12.75" customHeight="1">
      <c r="A24" s="32" t="s">
        <v>260</v>
      </c>
      <c r="B24" s="32" t="s">
        <v>261</v>
      </c>
      <c r="C24" s="32" t="s">
        <v>132</v>
      </c>
      <c r="D24" s="33">
        <v>8.0</v>
      </c>
      <c r="E24" s="34" t="s">
        <v>13</v>
      </c>
      <c r="F24" s="32" t="s">
        <v>21</v>
      </c>
      <c r="G24" s="34" t="s">
        <v>39</v>
      </c>
      <c r="H24" s="33">
        <v>1054.0</v>
      </c>
      <c r="I24" s="32" t="s">
        <v>16</v>
      </c>
      <c r="J24" s="35" t="s">
        <v>204</v>
      </c>
    </row>
    <row r="25" ht="12.75" customHeight="1">
      <c r="A25" s="32" t="s">
        <v>262</v>
      </c>
      <c r="B25" s="32" t="s">
        <v>263</v>
      </c>
      <c r="C25" s="32" t="s">
        <v>264</v>
      </c>
      <c r="D25" s="33">
        <v>8.0</v>
      </c>
      <c r="E25" s="34" t="s">
        <v>25</v>
      </c>
      <c r="F25" s="32" t="s">
        <v>21</v>
      </c>
      <c r="G25" s="34" t="s">
        <v>15</v>
      </c>
      <c r="H25" s="33">
        <v>1054.0</v>
      </c>
      <c r="I25" s="32" t="s">
        <v>16</v>
      </c>
      <c r="J25" s="35" t="s">
        <v>204</v>
      </c>
    </row>
    <row r="26" ht="12.75" customHeight="1">
      <c r="A26" s="32" t="s">
        <v>265</v>
      </c>
      <c r="B26" s="32" t="s">
        <v>263</v>
      </c>
      <c r="C26" s="32" t="s">
        <v>195</v>
      </c>
      <c r="D26" s="33">
        <v>8.0</v>
      </c>
      <c r="E26" s="34" t="s">
        <v>13</v>
      </c>
      <c r="F26" s="32" t="s">
        <v>21</v>
      </c>
      <c r="G26" s="34" t="s">
        <v>15</v>
      </c>
      <c r="H26" s="33">
        <v>1053.0</v>
      </c>
      <c r="I26" s="32" t="s">
        <v>16</v>
      </c>
      <c r="J26" s="35" t="s">
        <v>204</v>
      </c>
    </row>
    <row r="27" ht="12.75" customHeight="1">
      <c r="A27" s="32" t="s">
        <v>266</v>
      </c>
      <c r="B27" s="32" t="s">
        <v>267</v>
      </c>
      <c r="C27" s="32" t="s">
        <v>268</v>
      </c>
      <c r="D27" s="33">
        <v>7.0</v>
      </c>
      <c r="E27" s="34" t="s">
        <v>25</v>
      </c>
      <c r="F27" s="32" t="s">
        <v>21</v>
      </c>
      <c r="G27" s="34" t="s">
        <v>15</v>
      </c>
      <c r="H27" s="33">
        <v>1053.0</v>
      </c>
      <c r="I27" s="32" t="s">
        <v>16</v>
      </c>
      <c r="J27" s="35" t="s">
        <v>204</v>
      </c>
    </row>
    <row r="28" ht="12.75" customHeight="1">
      <c r="A28" s="32" t="s">
        <v>269</v>
      </c>
      <c r="B28" s="32" t="s">
        <v>270</v>
      </c>
      <c r="C28" s="32" t="s">
        <v>192</v>
      </c>
      <c r="D28" s="33">
        <v>8.0</v>
      </c>
      <c r="E28" s="34" t="s">
        <v>13</v>
      </c>
      <c r="F28" s="32" t="s">
        <v>14</v>
      </c>
      <c r="G28" s="34" t="s">
        <v>15</v>
      </c>
      <c r="H28" s="33">
        <v>1053.0</v>
      </c>
      <c r="I28" s="32" t="s">
        <v>16</v>
      </c>
      <c r="J28" s="35" t="s">
        <v>204</v>
      </c>
    </row>
    <row r="29" ht="12.75" customHeight="1">
      <c r="A29" s="32" t="s">
        <v>271</v>
      </c>
      <c r="B29" s="32" t="s">
        <v>272</v>
      </c>
      <c r="C29" s="32" t="s">
        <v>273</v>
      </c>
      <c r="D29" s="33">
        <v>8.0</v>
      </c>
      <c r="E29" s="34" t="s">
        <v>13</v>
      </c>
      <c r="F29" s="32" t="s">
        <v>21</v>
      </c>
      <c r="G29" s="34" t="s">
        <v>274</v>
      </c>
      <c r="H29" s="33">
        <v>1054.0</v>
      </c>
      <c r="I29" s="32" t="s">
        <v>16</v>
      </c>
      <c r="J29" s="35" t="s">
        <v>204</v>
      </c>
    </row>
    <row r="30" ht="12.75" customHeight="1">
      <c r="A30" s="32" t="s">
        <v>275</v>
      </c>
      <c r="B30" s="32" t="s">
        <v>276</v>
      </c>
      <c r="C30" s="32" t="s">
        <v>277</v>
      </c>
      <c r="D30" s="33">
        <v>8.0</v>
      </c>
      <c r="E30" s="34" t="s">
        <v>13</v>
      </c>
      <c r="F30" s="32" t="s">
        <v>21</v>
      </c>
      <c r="G30" s="34" t="s">
        <v>15</v>
      </c>
      <c r="H30" s="33">
        <v>1053.0</v>
      </c>
      <c r="I30" s="32" t="s">
        <v>16</v>
      </c>
      <c r="J30" s="35" t="s">
        <v>204</v>
      </c>
    </row>
    <row r="31" ht="12.75" customHeight="1">
      <c r="A31" s="32" t="s">
        <v>278</v>
      </c>
      <c r="B31" s="32" t="s">
        <v>122</v>
      </c>
      <c r="C31" s="32" t="s">
        <v>279</v>
      </c>
      <c r="D31" s="33">
        <v>8.0</v>
      </c>
      <c r="E31" s="34" t="s">
        <v>25</v>
      </c>
      <c r="F31" s="32" t="s">
        <v>21</v>
      </c>
      <c r="G31" s="34" t="s">
        <v>15</v>
      </c>
      <c r="H31" s="33">
        <v>1053.0</v>
      </c>
      <c r="I31" s="32" t="s">
        <v>16</v>
      </c>
      <c r="J31" s="35" t="s">
        <v>204</v>
      </c>
    </row>
    <row r="32" ht="12.75" customHeight="1">
      <c r="A32" s="32" t="s">
        <v>280</v>
      </c>
      <c r="B32" s="32" t="s">
        <v>281</v>
      </c>
      <c r="C32" s="32" t="s">
        <v>282</v>
      </c>
      <c r="D32" s="33">
        <v>8.0</v>
      </c>
      <c r="E32" s="34" t="s">
        <v>25</v>
      </c>
      <c r="F32" s="32" t="s">
        <v>21</v>
      </c>
      <c r="G32" s="34" t="s">
        <v>15</v>
      </c>
      <c r="H32" s="33">
        <v>1054.0</v>
      </c>
      <c r="I32" s="32" t="s">
        <v>16</v>
      </c>
      <c r="J32" s="35" t="s">
        <v>204</v>
      </c>
    </row>
    <row r="33" ht="12.75" customHeight="1">
      <c r="A33" s="32" t="s">
        <v>283</v>
      </c>
      <c r="B33" s="32" t="s">
        <v>284</v>
      </c>
      <c r="C33" s="32" t="s">
        <v>285</v>
      </c>
      <c r="D33" s="33">
        <v>8.0</v>
      </c>
      <c r="E33" s="34" t="s">
        <v>13</v>
      </c>
      <c r="F33" s="32" t="s">
        <v>21</v>
      </c>
      <c r="G33" s="34" t="s">
        <v>15</v>
      </c>
      <c r="H33" s="33">
        <v>1053.0</v>
      </c>
      <c r="I33" s="32" t="s">
        <v>16</v>
      </c>
      <c r="J33" s="35" t="s">
        <v>204</v>
      </c>
    </row>
    <row r="34" ht="12.75" customHeight="1">
      <c r="A34" s="32" t="s">
        <v>286</v>
      </c>
      <c r="B34" s="32" t="s">
        <v>287</v>
      </c>
      <c r="C34" s="32" t="s">
        <v>288</v>
      </c>
      <c r="D34" s="33">
        <v>8.0</v>
      </c>
      <c r="E34" s="34" t="s">
        <v>13</v>
      </c>
      <c r="F34" s="32" t="s">
        <v>21</v>
      </c>
      <c r="G34" s="34" t="s">
        <v>15</v>
      </c>
      <c r="H34" s="33">
        <v>1054.0</v>
      </c>
      <c r="I34" s="32" t="s">
        <v>16</v>
      </c>
      <c r="J34" s="35" t="s">
        <v>204</v>
      </c>
    </row>
    <row r="35" ht="12.75" customHeight="1">
      <c r="A35" s="32" t="s">
        <v>289</v>
      </c>
      <c r="B35" s="32" t="s">
        <v>290</v>
      </c>
      <c r="C35" s="32" t="s">
        <v>291</v>
      </c>
      <c r="D35" s="33">
        <v>8.0</v>
      </c>
      <c r="E35" s="34" t="s">
        <v>13</v>
      </c>
      <c r="F35" s="32" t="s">
        <v>21</v>
      </c>
      <c r="G35" s="34" t="s">
        <v>15</v>
      </c>
      <c r="H35" s="33">
        <v>1054.0</v>
      </c>
      <c r="I35" s="32" t="s">
        <v>16</v>
      </c>
      <c r="J35" s="35" t="s">
        <v>204</v>
      </c>
    </row>
    <row r="36" ht="12.75" customHeight="1">
      <c r="A36" s="32" t="s">
        <v>292</v>
      </c>
      <c r="B36" s="32" t="s">
        <v>293</v>
      </c>
      <c r="C36" s="32" t="s">
        <v>294</v>
      </c>
      <c r="D36" s="33">
        <v>8.0</v>
      </c>
      <c r="E36" s="34" t="s">
        <v>25</v>
      </c>
      <c r="F36" s="32" t="s">
        <v>21</v>
      </c>
      <c r="G36" s="34" t="s">
        <v>15</v>
      </c>
      <c r="H36" s="33">
        <v>1053.0</v>
      </c>
      <c r="I36" s="32" t="s">
        <v>16</v>
      </c>
      <c r="J36" s="35" t="s">
        <v>204</v>
      </c>
    </row>
    <row r="37" ht="12.75" customHeight="1">
      <c r="A37" s="32" t="s">
        <v>295</v>
      </c>
      <c r="B37" s="32" t="s">
        <v>134</v>
      </c>
      <c r="C37" s="32" t="s">
        <v>120</v>
      </c>
      <c r="D37" s="33">
        <v>8.0</v>
      </c>
      <c r="E37" s="34" t="s">
        <v>25</v>
      </c>
      <c r="F37" s="32" t="s">
        <v>21</v>
      </c>
      <c r="G37" s="34" t="s">
        <v>136</v>
      </c>
      <c r="H37" s="33">
        <v>1054.0</v>
      </c>
      <c r="I37" s="32" t="s">
        <v>16</v>
      </c>
      <c r="J37" s="35" t="s">
        <v>204</v>
      </c>
    </row>
    <row r="38" ht="12.75" customHeight="1">
      <c r="A38" s="32" t="s">
        <v>296</v>
      </c>
      <c r="B38" s="32" t="s">
        <v>297</v>
      </c>
      <c r="C38" s="32" t="s">
        <v>298</v>
      </c>
      <c r="D38" s="33">
        <v>8.0</v>
      </c>
      <c r="E38" s="34" t="s">
        <v>13</v>
      </c>
      <c r="F38" s="32" t="s">
        <v>21</v>
      </c>
      <c r="G38" s="34" t="s">
        <v>15</v>
      </c>
      <c r="H38" s="33">
        <v>1053.0</v>
      </c>
      <c r="I38" s="32" t="s">
        <v>16</v>
      </c>
      <c r="J38" s="35" t="s">
        <v>204</v>
      </c>
    </row>
    <row r="39" ht="12.75" customHeight="1">
      <c r="A39" s="32" t="s">
        <v>299</v>
      </c>
      <c r="B39" s="32" t="s">
        <v>300</v>
      </c>
      <c r="C39" s="32" t="s">
        <v>120</v>
      </c>
      <c r="D39" s="33">
        <v>8.0</v>
      </c>
      <c r="E39" s="34" t="s">
        <v>25</v>
      </c>
      <c r="F39" s="32" t="s">
        <v>21</v>
      </c>
      <c r="G39" s="34" t="s">
        <v>15</v>
      </c>
      <c r="H39" s="33">
        <v>1053.0</v>
      </c>
      <c r="I39" s="32" t="s">
        <v>16</v>
      </c>
      <c r="J39" s="35" t="s">
        <v>204</v>
      </c>
    </row>
    <row r="40" ht="12.75" customHeight="1">
      <c r="A40" s="32" t="s">
        <v>301</v>
      </c>
      <c r="B40" s="32" t="s">
        <v>302</v>
      </c>
      <c r="C40" s="32" t="s">
        <v>145</v>
      </c>
      <c r="D40" s="33">
        <v>8.0</v>
      </c>
      <c r="E40" s="34" t="s">
        <v>13</v>
      </c>
      <c r="F40" s="32" t="s">
        <v>21</v>
      </c>
      <c r="G40" s="34" t="s">
        <v>15</v>
      </c>
      <c r="H40" s="33">
        <v>1053.0</v>
      </c>
      <c r="I40" s="32" t="s">
        <v>16</v>
      </c>
      <c r="J40" s="35" t="s">
        <v>204</v>
      </c>
    </row>
    <row r="41" ht="12.75" customHeight="1">
      <c r="A41" s="32" t="s">
        <v>303</v>
      </c>
      <c r="B41" s="32" t="s">
        <v>304</v>
      </c>
      <c r="C41" s="32" t="s">
        <v>305</v>
      </c>
      <c r="D41" s="33">
        <v>8.0</v>
      </c>
      <c r="E41" s="34" t="s">
        <v>25</v>
      </c>
      <c r="F41" s="32" t="s">
        <v>21</v>
      </c>
      <c r="G41" s="34" t="s">
        <v>15</v>
      </c>
      <c r="H41" s="33">
        <v>1053.0</v>
      </c>
      <c r="I41" s="32" t="s">
        <v>16</v>
      </c>
      <c r="J41" s="35" t="s">
        <v>204</v>
      </c>
    </row>
    <row r="42" ht="12.75" customHeight="1">
      <c r="A42" s="32" t="s">
        <v>306</v>
      </c>
      <c r="B42" s="32" t="s">
        <v>307</v>
      </c>
      <c r="C42" s="32" t="s">
        <v>308</v>
      </c>
      <c r="D42" s="33">
        <v>8.0</v>
      </c>
      <c r="E42" s="34" t="s">
        <v>25</v>
      </c>
      <c r="F42" s="32" t="s">
        <v>21</v>
      </c>
      <c r="G42" s="34" t="s">
        <v>309</v>
      </c>
      <c r="H42" s="33">
        <v>1053.0</v>
      </c>
      <c r="I42" s="32" t="s">
        <v>16</v>
      </c>
      <c r="J42" s="35" t="s">
        <v>204</v>
      </c>
    </row>
    <row r="43" ht="12.75" customHeight="1">
      <c r="A43" s="32" t="s">
        <v>310</v>
      </c>
      <c r="B43" s="32" t="s">
        <v>311</v>
      </c>
      <c r="C43" s="32" t="s">
        <v>312</v>
      </c>
      <c r="D43" s="33">
        <v>8.0</v>
      </c>
      <c r="E43" s="34" t="s">
        <v>13</v>
      </c>
      <c r="F43" s="32" t="s">
        <v>21</v>
      </c>
      <c r="G43" s="34" t="s">
        <v>15</v>
      </c>
      <c r="H43" s="33">
        <v>1054.0</v>
      </c>
      <c r="I43" s="32" t="s">
        <v>16</v>
      </c>
      <c r="J43" s="35" t="s">
        <v>204</v>
      </c>
    </row>
    <row r="44" ht="12.75" customHeight="1">
      <c r="A44" s="32" t="s">
        <v>313</v>
      </c>
      <c r="B44" s="32" t="s">
        <v>314</v>
      </c>
      <c r="C44" s="32" t="s">
        <v>315</v>
      </c>
      <c r="D44" s="33">
        <v>8.0</v>
      </c>
      <c r="E44" s="34" t="s">
        <v>25</v>
      </c>
      <c r="F44" s="32" t="s">
        <v>21</v>
      </c>
      <c r="G44" s="34" t="s">
        <v>15</v>
      </c>
      <c r="H44" s="33">
        <v>1054.0</v>
      </c>
      <c r="I44" s="32" t="s">
        <v>16</v>
      </c>
      <c r="J44" s="35" t="s">
        <v>204</v>
      </c>
    </row>
    <row r="45" ht="12.75" customHeight="1">
      <c r="A45" s="32" t="s">
        <v>316</v>
      </c>
      <c r="B45" s="32" t="s">
        <v>317</v>
      </c>
      <c r="C45" s="32" t="s">
        <v>318</v>
      </c>
      <c r="D45" s="33">
        <v>8.0</v>
      </c>
      <c r="E45" s="34" t="s">
        <v>13</v>
      </c>
      <c r="F45" s="32" t="s">
        <v>21</v>
      </c>
      <c r="G45" s="34" t="s">
        <v>15</v>
      </c>
      <c r="H45" s="33">
        <v>1053.0</v>
      </c>
      <c r="I45" s="32" t="s">
        <v>16</v>
      </c>
      <c r="J45" s="35" t="s">
        <v>204</v>
      </c>
    </row>
    <row r="46" ht="12.75" customHeight="1">
      <c r="A46" s="32" t="s">
        <v>319</v>
      </c>
      <c r="B46" s="32" t="s">
        <v>182</v>
      </c>
      <c r="C46" s="32" t="s">
        <v>320</v>
      </c>
      <c r="D46" s="33">
        <v>8.0</v>
      </c>
      <c r="E46" s="34" t="s">
        <v>13</v>
      </c>
      <c r="F46" s="32" t="s">
        <v>21</v>
      </c>
      <c r="G46" s="34" t="s">
        <v>309</v>
      </c>
      <c r="H46" s="33">
        <v>1054.0</v>
      </c>
      <c r="I46" s="32" t="s">
        <v>16</v>
      </c>
      <c r="J46" s="35" t="s">
        <v>204</v>
      </c>
    </row>
    <row r="47" ht="12.75" customHeight="1">
      <c r="A47" s="32" t="s">
        <v>321</v>
      </c>
      <c r="B47" s="32" t="s">
        <v>185</v>
      </c>
      <c r="C47" s="32" t="s">
        <v>189</v>
      </c>
      <c r="D47" s="33">
        <v>8.0</v>
      </c>
      <c r="E47" s="34" t="s">
        <v>13</v>
      </c>
      <c r="F47" s="32" t="s">
        <v>21</v>
      </c>
      <c r="G47" s="34" t="s">
        <v>15</v>
      </c>
      <c r="H47" s="33">
        <v>1054.0</v>
      </c>
      <c r="I47" s="32" t="s">
        <v>16</v>
      </c>
      <c r="J47" s="35" t="s">
        <v>204</v>
      </c>
    </row>
    <row r="48" ht="12.75" customHeight="1">
      <c r="A48" s="32" t="s">
        <v>322</v>
      </c>
      <c r="B48" s="32" t="s">
        <v>323</v>
      </c>
      <c r="C48" s="32" t="s">
        <v>324</v>
      </c>
      <c r="D48" s="33">
        <v>8.0</v>
      </c>
      <c r="E48" s="34" t="s">
        <v>25</v>
      </c>
      <c r="F48" s="32" t="s">
        <v>21</v>
      </c>
      <c r="G48" s="34" t="s">
        <v>15</v>
      </c>
      <c r="H48" s="33">
        <v>1053.0</v>
      </c>
      <c r="I48" s="32" t="s">
        <v>16</v>
      </c>
      <c r="J48" s="35" t="s">
        <v>204</v>
      </c>
    </row>
    <row r="49" ht="12.75" customHeight="1">
      <c r="A49" s="32" t="s">
        <v>325</v>
      </c>
      <c r="B49" s="32" t="s">
        <v>326</v>
      </c>
      <c r="C49" s="32" t="s">
        <v>327</v>
      </c>
      <c r="D49" s="33">
        <v>8.0</v>
      </c>
      <c r="E49" s="34" t="s">
        <v>25</v>
      </c>
      <c r="F49" s="32" t="s">
        <v>21</v>
      </c>
      <c r="G49" s="34" t="s">
        <v>15</v>
      </c>
      <c r="H49" s="33">
        <v>1053.0</v>
      </c>
      <c r="I49" s="32" t="s">
        <v>16</v>
      </c>
      <c r="J49" s="35" t="s">
        <v>204</v>
      </c>
    </row>
    <row r="50" ht="12.75" customHeight="1">
      <c r="A50" s="32" t="s">
        <v>328</v>
      </c>
      <c r="B50" s="32" t="s">
        <v>329</v>
      </c>
      <c r="C50" s="32" t="s">
        <v>330</v>
      </c>
      <c r="D50" s="33">
        <v>8.0</v>
      </c>
      <c r="E50" s="34" t="s">
        <v>13</v>
      </c>
      <c r="F50" s="32" t="s">
        <v>21</v>
      </c>
      <c r="G50" s="34" t="s">
        <v>15</v>
      </c>
      <c r="H50" s="33">
        <v>1054.0</v>
      </c>
      <c r="I50" s="32" t="s">
        <v>16</v>
      </c>
      <c r="J50" s="35" t="s">
        <v>204</v>
      </c>
    </row>
    <row r="51" ht="12.75" customHeight="1">
      <c r="A51" s="32" t="s">
        <v>331</v>
      </c>
      <c r="B51" s="32" t="s">
        <v>332</v>
      </c>
      <c r="C51" s="32" t="s">
        <v>330</v>
      </c>
      <c r="D51" s="33">
        <v>8.0</v>
      </c>
      <c r="E51" s="34" t="s">
        <v>13</v>
      </c>
      <c r="F51" s="32" t="s">
        <v>21</v>
      </c>
      <c r="G51" s="34" t="s">
        <v>15</v>
      </c>
      <c r="H51" s="33">
        <v>1053.0</v>
      </c>
      <c r="I51" s="32" t="s">
        <v>16</v>
      </c>
      <c r="J51" s="35" t="s">
        <v>204</v>
      </c>
    </row>
    <row r="52" ht="12.75" customHeight="1">
      <c r="A52" s="32" t="s">
        <v>333</v>
      </c>
      <c r="B52" s="32" t="s">
        <v>334</v>
      </c>
      <c r="C52" s="32" t="s">
        <v>335</v>
      </c>
      <c r="D52" s="33">
        <v>8.0</v>
      </c>
      <c r="E52" s="34" t="s">
        <v>13</v>
      </c>
      <c r="F52" s="32" t="s">
        <v>21</v>
      </c>
      <c r="G52" s="34" t="s">
        <v>39</v>
      </c>
      <c r="H52" s="33">
        <v>1053.0</v>
      </c>
      <c r="I52" s="32" t="s">
        <v>16</v>
      </c>
      <c r="J52" s="35" t="s">
        <v>204</v>
      </c>
    </row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dataValidations>
    <dataValidation type="list" allowBlank="1" showDropDown="1" showErrorMessage="1" sqref="G2:G52">
      <formula1>"White,No Answer Provided,Japanese,Chinese,Korean,Samoan,Vietnamese"</formula1>
    </dataValidation>
    <dataValidation type="list" allowBlank="1" showDropDown="1" showErrorMessage="1" sqref="E2:E52">
      <formula1>"M,F"</formula1>
    </dataValidation>
    <dataValidation type="custom" allowBlank="1" showDropDown="1" sqref="D2:D52 H2:H52">
      <formula1>AND(ISNUMBER(D2),(NOT(OR(NOT(ISERROR(DATEVALUE(D2))), AND(ISNUMBER(D2), LEFT(CELL("format", D2))="D")))))</formula1>
    </dataValidation>
    <dataValidation allowBlank="1" showDropDown="1" sqref="A2:C52 F2:F52 I2:I52"/>
  </dataValidations>
  <printOptions/>
  <pageMargins bottom="1.0" footer="0.0" header="0.0" left="1.0" right="1.0" top="1.0"/>
  <pageSetup orientation="landscape"/>
  <rowBreaks count="1" manualBreakCount="1">
    <brk id="37" man="1"/>
  </rowBreaks>
  <drawing r:id="rId1"/>
  <tableParts count="1">
    <tablePart r:id="rId3"/>
  </tableParts>
</worksheet>
</file>