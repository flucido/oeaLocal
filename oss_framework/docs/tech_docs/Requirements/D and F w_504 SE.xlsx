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<sst xmlns="http://schemas.openxmlformats.org/spreadsheetml/2006/main" count="1905" uniqueCount="488">
  <si>
    <t>Student ID</t>
  </si>
  <si>
    <t>Last Name</t>
  </si>
  <si>
    <t>First Name</t>
  </si>
  <si>
    <t>Sex</t>
  </si>
  <si>
    <t>Grade</t>
  </si>
  <si>
    <t>Course title</t>
  </si>
  <si>
    <t>Mark2</t>
  </si>
  <si>
    <t>Citizenship</t>
  </si>
  <si>
    <t>LangFlu</t>
  </si>
  <si>
    <t>Has 504</t>
  </si>
  <si>
    <t>Has IEP</t>
  </si>
  <si>
    <t>Interventions</t>
  </si>
  <si>
    <t>Effective Date</t>
  </si>
  <si>
    <t>has 504</t>
  </si>
  <si>
    <t>Has dis</t>
  </si>
  <si>
    <t>Disability</t>
  </si>
  <si>
    <t>Ajiataz Maldonado</t>
  </si>
  <si>
    <t>Edward</t>
  </si>
  <si>
    <t>M</t>
  </si>
  <si>
    <t>Social St. 6</t>
  </si>
  <si>
    <t>D</t>
  </si>
  <si>
    <t>S</t>
  </si>
  <si>
    <t>R</t>
  </si>
  <si>
    <t>Grace</t>
  </si>
  <si>
    <t>Heidenberg</t>
  </si>
  <si>
    <t>E</t>
  </si>
  <si>
    <t>210</t>
  </si>
  <si>
    <t>CC Math 6</t>
  </si>
  <si>
    <t>F</t>
  </si>
  <si>
    <t>Valentina</t>
  </si>
  <si>
    <t>Vasquez</t>
  </si>
  <si>
    <t>220</t>
  </si>
  <si>
    <t>Alfieri</t>
  </si>
  <si>
    <t>Joseph</t>
  </si>
  <si>
    <t>B-</t>
  </si>
  <si>
    <t>N</t>
  </si>
  <si>
    <t>Riley</t>
  </si>
  <si>
    <t>Loberman</t>
  </si>
  <si>
    <t>01/24/2025</t>
  </si>
  <si>
    <t>240</t>
  </si>
  <si>
    <t>Allen</t>
  </si>
  <si>
    <t>Owen</t>
  </si>
  <si>
    <t>Cross Training</t>
  </si>
  <si>
    <t>C-</t>
  </si>
  <si>
    <t>U</t>
  </si>
  <si>
    <t>Cameron</t>
  </si>
  <si>
    <t>Maida</t>
  </si>
  <si>
    <t>08/19/2025</t>
  </si>
  <si>
    <t>Science 8</t>
  </si>
  <si>
    <t>Declan</t>
  </si>
  <si>
    <t>O'Brien</t>
  </si>
  <si>
    <t>02/05/2025</t>
  </si>
  <si>
    <t>Art</t>
  </si>
  <si>
    <t>Aysa</t>
  </si>
  <si>
    <t>Rogers</t>
  </si>
  <si>
    <t>09/15/2025</t>
  </si>
  <si>
    <t>Lang Arts 8</t>
  </si>
  <si>
    <t>D-</t>
  </si>
  <si>
    <t>Elle</t>
  </si>
  <si>
    <t>Stout</t>
  </si>
  <si>
    <t>05/27/2025</t>
  </si>
  <si>
    <t>CC Math 8</t>
  </si>
  <si>
    <t>Brayden</t>
  </si>
  <si>
    <t>Tindall</t>
  </si>
  <si>
    <t>05/25/2022</t>
  </si>
  <si>
    <t>Alvarado</t>
  </si>
  <si>
    <t>Eric</t>
  </si>
  <si>
    <t>Spencer</t>
  </si>
  <si>
    <t>Barash</t>
  </si>
  <si>
    <t>PE 7/8</t>
  </si>
  <si>
    <t>Callen</t>
  </si>
  <si>
    <t>Kirkland</t>
  </si>
  <si>
    <t>09/20/2024</t>
  </si>
  <si>
    <t>Lila</t>
  </si>
  <si>
    <t>Kleinman-Green</t>
  </si>
  <si>
    <t>10/02/2024</t>
  </si>
  <si>
    <t>Forrest</t>
  </si>
  <si>
    <t>Morales</t>
  </si>
  <si>
    <t>10/21/2025</t>
  </si>
  <si>
    <t>Alvarez</t>
  </si>
  <si>
    <t>Adam</t>
  </si>
  <si>
    <t>Davi Luis</t>
  </si>
  <si>
    <t>Batista</t>
  </si>
  <si>
    <t>Atnip</t>
  </si>
  <si>
    <t>Luke</t>
  </si>
  <si>
    <t>Lang Arts 6</t>
  </si>
  <si>
    <t>A-</t>
  </si>
  <si>
    <t>Sophia</t>
  </si>
  <si>
    <t>Becker</t>
  </si>
  <si>
    <t>Bakerink</t>
  </si>
  <si>
    <t>Cedrick</t>
  </si>
  <si>
    <t>Spanish 1A</t>
  </si>
  <si>
    <t>D+</t>
  </si>
  <si>
    <t>Ava</t>
  </si>
  <si>
    <t>Bradley</t>
  </si>
  <si>
    <t>Social St. 7</t>
  </si>
  <si>
    <t>Caleb</t>
  </si>
  <si>
    <t>Chuc Ojeda</t>
  </si>
  <si>
    <t>C+</t>
  </si>
  <si>
    <t>Aaliyah</t>
  </si>
  <si>
    <t>Cross-Nice</t>
  </si>
  <si>
    <t>Balladares</t>
  </si>
  <si>
    <t>Melody</t>
  </si>
  <si>
    <t>Kendall</t>
  </si>
  <si>
    <t>Dowd</t>
  </si>
  <si>
    <t>Ballard</t>
  </si>
  <si>
    <t>Greyson</t>
  </si>
  <si>
    <t>Science 6</t>
  </si>
  <si>
    <t>Henry</t>
  </si>
  <si>
    <t>Duncan</t>
  </si>
  <si>
    <t>Bivins</t>
  </si>
  <si>
    <t>Iry'una</t>
  </si>
  <si>
    <t>PE 6B</t>
  </si>
  <si>
    <t>B</t>
  </si>
  <si>
    <t>Micah</t>
  </si>
  <si>
    <t>Fells</t>
  </si>
  <si>
    <t>Busch</t>
  </si>
  <si>
    <t>Benjamin</t>
  </si>
  <si>
    <t>B+</t>
  </si>
  <si>
    <t>Dillon</t>
  </si>
  <si>
    <t>Fischer</t>
  </si>
  <si>
    <t>Calderon Alvarez</t>
  </si>
  <si>
    <t>Braily</t>
  </si>
  <si>
    <t>Algebra 1</t>
  </si>
  <si>
    <t>Vincent</t>
  </si>
  <si>
    <t>Fong</t>
  </si>
  <si>
    <t>Casas</t>
  </si>
  <si>
    <t>Daisey</t>
  </si>
  <si>
    <t>Social St. 8</t>
  </si>
  <si>
    <t>L</t>
  </si>
  <si>
    <t>Cash</t>
  </si>
  <si>
    <t>Gianinno</t>
  </si>
  <si>
    <t>Elena</t>
  </si>
  <si>
    <t>Hernandez Mazariegos</t>
  </si>
  <si>
    <t>Jonathan</t>
  </si>
  <si>
    <t>Hubbell Corena</t>
  </si>
  <si>
    <t>Logan</t>
  </si>
  <si>
    <t>Hughey</t>
  </si>
  <si>
    <t>Chaya</t>
  </si>
  <si>
    <t>Ryan</t>
  </si>
  <si>
    <t>Dempsey</t>
  </si>
  <si>
    <t>Huinil Velasquez</t>
  </si>
  <si>
    <t>Chung</t>
  </si>
  <si>
    <t>Ethan</t>
  </si>
  <si>
    <t>CC Math 7</t>
  </si>
  <si>
    <t>Emerson</t>
  </si>
  <si>
    <t>Jaeger</t>
  </si>
  <si>
    <t>Coleman</t>
  </si>
  <si>
    <t>Zamir</t>
  </si>
  <si>
    <t>Science 7</t>
  </si>
  <si>
    <t>Harriet</t>
  </si>
  <si>
    <t>Kaster</t>
  </si>
  <si>
    <t>LC ELA 6/7</t>
  </si>
  <si>
    <t>Maxwell</t>
  </si>
  <si>
    <t>Kwong</t>
  </si>
  <si>
    <t>Cooper</t>
  </si>
  <si>
    <t>Laffer</t>
  </si>
  <si>
    <t>Cortez Nunez</t>
  </si>
  <si>
    <t>Tobias</t>
  </si>
  <si>
    <t>Josephine</t>
  </si>
  <si>
    <t>Laico</t>
  </si>
  <si>
    <t>Exp. A- Skills</t>
  </si>
  <si>
    <t>NP</t>
  </si>
  <si>
    <t>Christopher</t>
  </si>
  <si>
    <t>Langley</t>
  </si>
  <si>
    <t>John</t>
  </si>
  <si>
    <t>Lauster</t>
  </si>
  <si>
    <t>Lawlor-Kershon</t>
  </si>
  <si>
    <t>Ayden</t>
  </si>
  <si>
    <t>Madrigal</t>
  </si>
  <si>
    <t>Lilly</t>
  </si>
  <si>
    <t>Maibaum</t>
  </si>
  <si>
    <t>Curry</t>
  </si>
  <si>
    <t>Kaulia</t>
  </si>
  <si>
    <t>PE 6A</t>
  </si>
  <si>
    <t>Bear</t>
  </si>
  <si>
    <t>Martin</t>
  </si>
  <si>
    <t>Connor</t>
  </si>
  <si>
    <t>McKay</t>
  </si>
  <si>
    <t>Agatha</t>
  </si>
  <si>
    <t>Mereskina</t>
  </si>
  <si>
    <t>Samuel</t>
  </si>
  <si>
    <t>Michael Hegwer</t>
  </si>
  <si>
    <t>Elyse</t>
  </si>
  <si>
    <t>Milbourn</t>
  </si>
  <si>
    <t>Exp. B- Lead</t>
  </si>
  <si>
    <t>P</t>
  </si>
  <si>
    <t>Charlie</t>
  </si>
  <si>
    <t>Miller</t>
  </si>
  <si>
    <t>Danieli</t>
  </si>
  <si>
    <t>Julian</t>
  </si>
  <si>
    <t>A</t>
  </si>
  <si>
    <t>Minor</t>
  </si>
  <si>
    <t>De Losa-Tham</t>
  </si>
  <si>
    <t>Paolo</t>
  </si>
  <si>
    <t>Callum</t>
  </si>
  <si>
    <t>Mullen</t>
  </si>
  <si>
    <t>William</t>
  </si>
  <si>
    <t>Powell</t>
  </si>
  <si>
    <t>Jhohane</t>
  </si>
  <si>
    <t>Recinos Vecina</t>
  </si>
  <si>
    <t>McKenzie</t>
  </si>
  <si>
    <t>Rhodes</t>
  </si>
  <si>
    <t>Grant</t>
  </si>
  <si>
    <t>Rigsby</t>
  </si>
  <si>
    <t>Diaz</t>
  </si>
  <si>
    <t>David</t>
  </si>
  <si>
    <t>Band 6</t>
  </si>
  <si>
    <t>Sajche</t>
  </si>
  <si>
    <t>Jeffrey</t>
  </si>
  <si>
    <t>Jordan</t>
  </si>
  <si>
    <t>Santos Claros</t>
  </si>
  <si>
    <t>Dizon</t>
  </si>
  <si>
    <t>Jayden</t>
  </si>
  <si>
    <t>Bo</t>
  </si>
  <si>
    <t>Schafer</t>
  </si>
  <si>
    <t>Finch</t>
  </si>
  <si>
    <t>Avery</t>
  </si>
  <si>
    <t>Justin</t>
  </si>
  <si>
    <t>Schmidt</t>
  </si>
  <si>
    <t>Glover</t>
  </si>
  <si>
    <t>Christian</t>
  </si>
  <si>
    <t>Lang Arts 7</t>
  </si>
  <si>
    <t>Cole</t>
  </si>
  <si>
    <t>Sims</t>
  </si>
  <si>
    <t>Gabe</t>
  </si>
  <si>
    <t>Stein</t>
  </si>
  <si>
    <t>Joaquin</t>
  </si>
  <si>
    <t>Vigil-Vazquez</t>
  </si>
  <si>
    <t>Gonzalez</t>
  </si>
  <si>
    <t>Diego</t>
  </si>
  <si>
    <t>Winner</t>
  </si>
  <si>
    <t>Gonzalez Vazquez</t>
  </si>
  <si>
    <t>Andres</t>
  </si>
  <si>
    <t>Maya</t>
  </si>
  <si>
    <t>Gasper</t>
  </si>
  <si>
    <t>260</t>
  </si>
  <si>
    <t>Adelaide</t>
  </si>
  <si>
    <t>O'Connor</t>
  </si>
  <si>
    <t>05/20/2024</t>
  </si>
  <si>
    <t>280</t>
  </si>
  <si>
    <t>Pavlov</t>
  </si>
  <si>
    <t>04/22/2024</t>
  </si>
  <si>
    <t>Applied Science</t>
  </si>
  <si>
    <t>Zargar</t>
  </si>
  <si>
    <t>Gramajo Rodas</t>
  </si>
  <si>
    <t>Alexandra</t>
  </si>
  <si>
    <t>James</t>
  </si>
  <si>
    <t>Kelly</t>
  </si>
  <si>
    <t>08/21/2023</t>
  </si>
  <si>
    <t>Harbidge</t>
  </si>
  <si>
    <t>Shea</t>
  </si>
  <si>
    <t>Miles</t>
  </si>
  <si>
    <t>Trenary</t>
  </si>
  <si>
    <t>10/15/2025</t>
  </si>
  <si>
    <t>Hayden</t>
  </si>
  <si>
    <t>Robert</t>
  </si>
  <si>
    <t>Evan</t>
  </si>
  <si>
    <t>Aronson</t>
  </si>
  <si>
    <t>Hernandez</t>
  </si>
  <si>
    <t>Alexander Aaron</t>
  </si>
  <si>
    <t>Coupar</t>
  </si>
  <si>
    <t>Hernandez-Velasquez</t>
  </si>
  <si>
    <t>Marvin</t>
  </si>
  <si>
    <t>ELD 1</t>
  </si>
  <si>
    <t>Matthew</t>
  </si>
  <si>
    <t>DeMartini</t>
  </si>
  <si>
    <t>Houssain</t>
  </si>
  <si>
    <t>Zakareya</t>
  </si>
  <si>
    <t>C</t>
  </si>
  <si>
    <t>Erickson</t>
  </si>
  <si>
    <t>Griffin</t>
  </si>
  <si>
    <t>Feist</t>
  </si>
  <si>
    <t>Hudson</t>
  </si>
  <si>
    <t>Immoos</t>
  </si>
  <si>
    <t>Johann</t>
  </si>
  <si>
    <t>Konis Clemmer</t>
  </si>
  <si>
    <t>Elliot</t>
  </si>
  <si>
    <t>Kozlowski</t>
  </si>
  <si>
    <t>Maggie</t>
  </si>
  <si>
    <t>Madden</t>
  </si>
  <si>
    <t>Aneyah</t>
  </si>
  <si>
    <t>McCall-Fleming</t>
  </si>
  <si>
    <t>Inadze</t>
  </si>
  <si>
    <t>Aleksandre</t>
  </si>
  <si>
    <t>Sebastian</t>
  </si>
  <si>
    <t>Moreno Contreras</t>
  </si>
  <si>
    <t>Exp. A - Lead</t>
  </si>
  <si>
    <t>Andy</t>
  </si>
  <si>
    <t>Rodas- Mazariegos</t>
  </si>
  <si>
    <t>Islas Lopez</t>
  </si>
  <si>
    <t>Franco</t>
  </si>
  <si>
    <t>Romano</t>
  </si>
  <si>
    <t>Dean</t>
  </si>
  <si>
    <t>Smith</t>
  </si>
  <si>
    <t>Kennedy Jr</t>
  </si>
  <si>
    <t>Iman</t>
  </si>
  <si>
    <t>Lili</t>
  </si>
  <si>
    <t>Sordoillet</t>
  </si>
  <si>
    <t>Cori</t>
  </si>
  <si>
    <t>Newman</t>
  </si>
  <si>
    <t>01/23/2025</t>
  </si>
  <si>
    <t>290</t>
  </si>
  <si>
    <t>Brook</t>
  </si>
  <si>
    <t>Strada</t>
  </si>
  <si>
    <t>Mia</t>
  </si>
  <si>
    <t>Torres Juarez</t>
  </si>
  <si>
    <t>Laboy</t>
  </si>
  <si>
    <t>Ryker</t>
  </si>
  <si>
    <t>Saadhvi</t>
  </si>
  <si>
    <t>Das</t>
  </si>
  <si>
    <t>09/02/2024</t>
  </si>
  <si>
    <t>Lang</t>
  </si>
  <si>
    <t>Sienna</t>
  </si>
  <si>
    <t>Everett</t>
  </si>
  <si>
    <t>Alesio Maloney</t>
  </si>
  <si>
    <t>Skylar</t>
  </si>
  <si>
    <t>Leiken</t>
  </si>
  <si>
    <t>Lopez Quintero</t>
  </si>
  <si>
    <t>Ian</t>
  </si>
  <si>
    <t>Rion</t>
  </si>
  <si>
    <t>Abplanalp-Cowan</t>
  </si>
  <si>
    <t>Ahlemeyer</t>
  </si>
  <si>
    <t>Abbott</t>
  </si>
  <si>
    <t>Magley</t>
  </si>
  <si>
    <t>Luna</t>
  </si>
  <si>
    <t>Alvarez Escobar</t>
  </si>
  <si>
    <t>Mahmoudi</t>
  </si>
  <si>
    <t>Arya</t>
  </si>
  <si>
    <t>Elise</t>
  </si>
  <si>
    <t>Barker</t>
  </si>
  <si>
    <t>Spanish 1B</t>
  </si>
  <si>
    <t>Emma</t>
  </si>
  <si>
    <t>Cadena Sanchez</t>
  </si>
  <si>
    <t>Band 7/8</t>
  </si>
  <si>
    <t>Bryan</t>
  </si>
  <si>
    <t>Maldonado Alonzo</t>
  </si>
  <si>
    <t>Cora</t>
  </si>
  <si>
    <t>Martinez</t>
  </si>
  <si>
    <t>Angela</t>
  </si>
  <si>
    <t>Celina</t>
  </si>
  <si>
    <t>Sem</t>
  </si>
  <si>
    <t>Lopez DeLeon</t>
  </si>
  <si>
    <t>Massoletti</t>
  </si>
  <si>
    <t>Brooklynn</t>
  </si>
  <si>
    <t>Erick</t>
  </si>
  <si>
    <t>Jesse</t>
  </si>
  <si>
    <t>May</t>
  </si>
  <si>
    <t>Nicolas</t>
  </si>
  <si>
    <t>Damaris</t>
  </si>
  <si>
    <t>Martinez De Leon</t>
  </si>
  <si>
    <t>Mazariegos Chavez</t>
  </si>
  <si>
    <t>Callie</t>
  </si>
  <si>
    <t>Muir</t>
  </si>
  <si>
    <t>Quinn</t>
  </si>
  <si>
    <t>Myers</t>
  </si>
  <si>
    <t>Ojeda Wilson</t>
  </si>
  <si>
    <t>Parker</t>
  </si>
  <si>
    <t>Estefany</t>
  </si>
  <si>
    <t>Rodas Delcid</t>
  </si>
  <si>
    <t>Medina</t>
  </si>
  <si>
    <t>Adelah</t>
  </si>
  <si>
    <t>Johanna</t>
  </si>
  <si>
    <t>Rodas Rodas</t>
  </si>
  <si>
    <t>Wassim</t>
  </si>
  <si>
    <t>Salem</t>
  </si>
  <si>
    <t>Mendoza Perez</t>
  </si>
  <si>
    <t>Penelope</t>
  </si>
  <si>
    <t>Santamaria Pineda</t>
  </si>
  <si>
    <t>Simon</t>
  </si>
  <si>
    <t>Sapio</t>
  </si>
  <si>
    <t>Parsley</t>
  </si>
  <si>
    <t>Abigail</t>
  </si>
  <si>
    <t>Jacob</t>
  </si>
  <si>
    <t>Schiffmann</t>
  </si>
  <si>
    <t>Julia</t>
  </si>
  <si>
    <t>Whisman</t>
  </si>
  <si>
    <t>Pasternak</t>
  </si>
  <si>
    <t>Errol</t>
  </si>
  <si>
    <t>Esteban</t>
  </si>
  <si>
    <t>Childers</t>
  </si>
  <si>
    <t>320</t>
  </si>
  <si>
    <t>Marcus</t>
  </si>
  <si>
    <t>Gillespie</t>
  </si>
  <si>
    <t>Kayla</t>
  </si>
  <si>
    <t>Rulli</t>
  </si>
  <si>
    <t>10/01/2025</t>
  </si>
  <si>
    <t>Jasmine</t>
  </si>
  <si>
    <t>Tai</t>
  </si>
  <si>
    <t>Pelico Mazariegos</t>
  </si>
  <si>
    <t>Jeremy</t>
  </si>
  <si>
    <t>Heckler</t>
  </si>
  <si>
    <t>03/25/2024</t>
  </si>
  <si>
    <t>01/01/2024</t>
  </si>
  <si>
    <t>Pinto</t>
  </si>
  <si>
    <t>Melissa</t>
  </si>
  <si>
    <t>Mina</t>
  </si>
  <si>
    <t>Keast</t>
  </si>
  <si>
    <t>03/27/2025</t>
  </si>
  <si>
    <t>Xylo</t>
  </si>
  <si>
    <t>MacKinnon Eagan</t>
  </si>
  <si>
    <t>08/18/2025</t>
  </si>
  <si>
    <t>Smart</t>
  </si>
  <si>
    <t>Quinteros Melendez</t>
  </si>
  <si>
    <t>Caceres</t>
  </si>
  <si>
    <t>Recella</t>
  </si>
  <si>
    <t>Angel Rae</t>
  </si>
  <si>
    <t>Maverick</t>
  </si>
  <si>
    <t>Reymund</t>
  </si>
  <si>
    <t>Talia</t>
  </si>
  <si>
    <t>Stern</t>
  </si>
  <si>
    <t>Lillian</t>
  </si>
  <si>
    <t>Tunks</t>
  </si>
  <si>
    <t>Scarlett</t>
  </si>
  <si>
    <t>Evens</t>
  </si>
  <si>
    <t>Sierra</t>
  </si>
  <si>
    <t>Rodas</t>
  </si>
  <si>
    <t>Elissa</t>
  </si>
  <si>
    <t>Natalie</t>
  </si>
  <si>
    <t>Malas</t>
  </si>
  <si>
    <t>Hannah</t>
  </si>
  <si>
    <t>Samuels</t>
  </si>
  <si>
    <t>Rodas Calderon</t>
  </si>
  <si>
    <t>Oscar</t>
  </si>
  <si>
    <t>Kensington</t>
  </si>
  <si>
    <t>09/01/2024</t>
  </si>
  <si>
    <t>Aaron</t>
  </si>
  <si>
    <t>Kian</t>
  </si>
  <si>
    <t>Thomas</t>
  </si>
  <si>
    <t>Calvin</t>
  </si>
  <si>
    <t>Dreikosen</t>
  </si>
  <si>
    <t>Hodes</t>
  </si>
  <si>
    <t>09/10/2024</t>
  </si>
  <si>
    <t>Rodas-Cifuentes</t>
  </si>
  <si>
    <t>Gabby</t>
  </si>
  <si>
    <t>Taylor</t>
  </si>
  <si>
    <t>O'Dea</t>
  </si>
  <si>
    <t>Rodrigues Paz</t>
  </si>
  <si>
    <t>Yasmin</t>
  </si>
  <si>
    <t>09/21/2023</t>
  </si>
  <si>
    <t>Mishiike</t>
  </si>
  <si>
    <t>Shumavon</t>
  </si>
  <si>
    <t>Liliana</t>
  </si>
  <si>
    <t>Alioto</t>
  </si>
  <si>
    <t>09/26/2025</t>
  </si>
  <si>
    <t>Aubrey</t>
  </si>
  <si>
    <t>Shaw</t>
  </si>
  <si>
    <t>09/24/2024</t>
  </si>
  <si>
    <t>09/28/2023</t>
  </si>
  <si>
    <t>Violetta</t>
  </si>
  <si>
    <t>Jones</t>
  </si>
  <si>
    <t>LC Math 6/7</t>
  </si>
  <si>
    <t>10/14/2025</t>
  </si>
  <si>
    <t>Starla</t>
  </si>
  <si>
    <t>Mulford</t>
  </si>
  <si>
    <t>Mason</t>
  </si>
  <si>
    <t>Jeremiah</t>
  </si>
  <si>
    <t>Schwartzbach</t>
  </si>
  <si>
    <t>10/15/2024</t>
  </si>
  <si>
    <t>10/20/2024</t>
  </si>
  <si>
    <t>Azadi Lainez</t>
  </si>
  <si>
    <t>Schwartz</t>
  </si>
  <si>
    <t>Fox</t>
  </si>
  <si>
    <t>Brandon</t>
  </si>
  <si>
    <t>Willoughby</t>
  </si>
  <si>
    <t>10/22/2025</t>
  </si>
  <si>
    <t>Nathaniel</t>
  </si>
  <si>
    <t>Ziman</t>
  </si>
  <si>
    <t>Sevilla</t>
  </si>
  <si>
    <t>Einar</t>
  </si>
  <si>
    <t>Kristin</t>
  </si>
  <si>
    <t>12/14/2023</t>
  </si>
  <si>
    <t>Violet</t>
  </si>
  <si>
    <t>Cliffe</t>
  </si>
  <si>
    <t>LC 6/7</t>
  </si>
  <si>
    <t>Spinella-Blum</t>
  </si>
  <si>
    <t>Matteo</t>
  </si>
  <si>
    <t>Statz</t>
  </si>
  <si>
    <t>Brody</t>
  </si>
  <si>
    <t>Surget</t>
  </si>
  <si>
    <t>Jasper</t>
  </si>
  <si>
    <t>LC 7/8</t>
  </si>
  <si>
    <t>NM</t>
  </si>
  <si>
    <t>Taleah</t>
  </si>
  <si>
    <t>Waters</t>
  </si>
  <si>
    <t>Marlee</t>
  </si>
  <si>
    <t>White</t>
  </si>
  <si>
    <t>Jade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</si>
</sst>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vertical="center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horizontal="center" vertical="center"/>
    </xf>
    <xf borderId="0" fillId="2" fontId="2" numFmtId="0" xfId="0" applyFill="1" applyFont="1"/>
    <xf borderId="0" fillId="0" fontId="3" numFmtId="49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readingOrder="0" shrinkToFit="0" wrapText="0"/>
    </xf>
    <xf borderId="0" fillId="0" fontId="4" numFmtId="1" xfId="0" applyAlignment="1" applyFont="1" applyNumberFormat="1">
      <alignment horizontal="right" vertical="center"/>
    </xf>
    <xf borderId="0" fillId="0" fontId="4" numFmtId="49" xfId="0" applyAlignment="1" applyFont="1" applyNumberFormat="1">
      <alignment vertical="center"/>
    </xf>
    <xf borderId="0" fillId="0" fontId="4" numFmtId="49" xfId="0" applyAlignment="1" applyFont="1" applyNumberFormat="1">
      <alignment horizontal="center" vertical="center"/>
    </xf>
    <xf borderId="0" fillId="2" fontId="2" numFmtId="0" xfId="0" applyFont="1"/>
    <xf borderId="0" fillId="0" fontId="3" numFmtId="1" xfId="0" applyAlignment="1" applyFont="1" applyNumberFormat="1">
      <alignment shrinkToFit="0" wrapText="0"/>
    </xf>
    <xf borderId="0" fillId="0" fontId="3" numFmtId="49" xfId="0" applyAlignment="1" applyFont="1" applyNumberFormat="1">
      <alignment shrinkToFit="0" wrapText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J1:L2" displayName="Table_1" name="Table_1" id="1">
  <tableColumns count="3">
    <tableColumn name="Has 504" id="1"/>
    <tableColumn name="Has IEP" id="2"/>
    <tableColumn name="Intervention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7.14"/>
    <col customWidth="1" min="3" max="3" width="21.43"/>
    <col customWidth="1" min="4" max="4" width="4.29"/>
    <col customWidth="1" min="5" max="5" width="7.14"/>
    <col customWidth="1" min="6" max="6" width="21.43"/>
    <col customWidth="1" min="7" max="7" width="7.14"/>
    <col customWidth="1" min="8" max="8" width="18.14"/>
    <col customWidth="1" min="9" max="9" width="19.71"/>
    <col customWidth="1" min="10" max="10" width="15.14"/>
    <col customWidth="1" min="11" max="11" width="28.57"/>
    <col customWidth="1" min="12" max="12" width="34.43"/>
    <col customWidth="1" min="13" max="14" width="8.71"/>
    <col customWidth="1" hidden="1" min="15" max="15" width="18.86"/>
    <col customWidth="1" hidden="1" min="16" max="16" width="19.29"/>
    <col customWidth="1" hidden="1" min="17" max="17" width="24.57"/>
    <col customWidth="1" hidden="1" min="18" max="18" width="13.0"/>
    <col customWidth="1" hidden="1" min="19" max="21" width="18.0"/>
    <col customWidth="1" hidden="1" min="22" max="22" width="8.71"/>
    <col customWidth="1" min="23" max="25" width="8.71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O1" s="5" t="s">
        <v>0</v>
      </c>
      <c r="P1" s="5" t="s">
        <v>2</v>
      </c>
      <c r="Q1" s="5" t="s">
        <v>1</v>
      </c>
      <c r="R1" s="5" t="s">
        <v>8</v>
      </c>
      <c r="S1" s="5" t="s">
        <v>12</v>
      </c>
      <c r="T1" s="6" t="s">
        <v>13</v>
      </c>
      <c r="U1" s="6" t="s">
        <v>14</v>
      </c>
      <c r="V1" s="5" t="s">
        <v>15</v>
      </c>
    </row>
    <row r="2" ht="12.75" customHeight="1">
      <c r="A2" s="7">
        <v>47414.0</v>
      </c>
      <c r="B2" s="8" t="s">
        <v>16</v>
      </c>
      <c r="C2" s="8" t="s">
        <v>17</v>
      </c>
      <c r="D2" s="9" t="s">
        <v>18</v>
      </c>
      <c r="E2" s="7">
        <v>6.0</v>
      </c>
      <c r="F2" s="8" t="s">
        <v>19</v>
      </c>
      <c r="G2" s="9" t="s">
        <v>20</v>
      </c>
      <c r="H2" s="9" t="s">
        <v>21</v>
      </c>
      <c r="I2" s="9" t="s">
        <v>22</v>
      </c>
      <c r="J2" s="10" t="str">
        <f>IFERROR(VLOOKUP(A2, Sheet1!$O$1:$V$156, 6, FALSE), "")</f>
        <v/>
      </c>
      <c r="K2" s="10" t="str">
        <f>IFERROR(VLOOKUP(A2, Sheet1!$O$1:$V$156, 7, FALSE), "")
</f>
        <v/>
      </c>
      <c r="L2" s="10"/>
      <c r="O2" s="11">
        <v>47490.0</v>
      </c>
      <c r="P2" s="12" t="s">
        <v>23</v>
      </c>
      <c r="Q2" s="12" t="s">
        <v>24</v>
      </c>
      <c r="R2" s="12" t="s">
        <v>25</v>
      </c>
      <c r="T2" s="13" t="str">
        <f t="shared" ref="T2:T156" si="1">IF(S2=""," ","Y")</f>
        <v> </v>
      </c>
      <c r="U2" s="12" t="str">
        <f t="shared" ref="U2:U156" si="2">IF(V2=""," ","Y")</f>
        <v>Y</v>
      </c>
      <c r="V2" s="12" t="s">
        <v>26</v>
      </c>
    </row>
    <row r="3" ht="12.75" customHeight="1">
      <c r="A3" s="7">
        <v>47414.0</v>
      </c>
      <c r="B3" s="8" t="s">
        <v>16</v>
      </c>
      <c r="C3" s="8" t="s">
        <v>17</v>
      </c>
      <c r="D3" s="9" t="s">
        <v>18</v>
      </c>
      <c r="E3" s="7">
        <v>6.0</v>
      </c>
      <c r="F3" s="8" t="s">
        <v>27</v>
      </c>
      <c r="G3" s="9" t="s">
        <v>28</v>
      </c>
      <c r="H3" s="9" t="s">
        <v>21</v>
      </c>
      <c r="I3" s="9" t="s">
        <v>22</v>
      </c>
      <c r="J3" s="10" t="str">
        <f>IFERROR(VLOOKUP(A3, Sheet1!$O$1:$V$156, 6, FALSE), "")</f>
        <v/>
      </c>
      <c r="K3" s="10" t="str">
        <f>IFERROR(VLOOKUP(A3, Sheet1!$O$1:$V$156, 7, FALSE), "")
</f>
        <v/>
      </c>
      <c r="O3" s="11">
        <v>45149.0</v>
      </c>
      <c r="P3" s="12" t="s">
        <v>29</v>
      </c>
      <c r="Q3" s="12" t="s">
        <v>30</v>
      </c>
      <c r="R3" s="12" t="s">
        <v>28</v>
      </c>
      <c r="T3" s="13" t="str">
        <f t="shared" si="1"/>
        <v> </v>
      </c>
      <c r="U3" s="12" t="str">
        <f t="shared" si="2"/>
        <v>Y</v>
      </c>
      <c r="V3" s="12" t="s">
        <v>31</v>
      </c>
    </row>
    <row r="4" ht="12.75" customHeight="1">
      <c r="A4" s="7">
        <v>44761.0</v>
      </c>
      <c r="B4" s="8" t="s">
        <v>32</v>
      </c>
      <c r="C4" s="8" t="s">
        <v>33</v>
      </c>
      <c r="D4" s="9" t="s">
        <v>18</v>
      </c>
      <c r="E4" s="7">
        <v>6.0</v>
      </c>
      <c r="F4" s="8" t="s">
        <v>19</v>
      </c>
      <c r="G4" s="9" t="s">
        <v>34</v>
      </c>
      <c r="H4" s="9" t="s">
        <v>35</v>
      </c>
      <c r="I4" s="9" t="s">
        <v>25</v>
      </c>
      <c r="J4" s="10" t="str">
        <f>IFERROR(VLOOKUP(A4, Sheet1!$O$1:$V$156, 6, FALSE), "")</f>
        <v>Y</v>
      </c>
      <c r="K4" s="10" t="str">
        <f>IFERROR(VLOOKUP(A4, Sheet1!$O$1:$V$156, 7, FALSE), "")
</f>
        <v> </v>
      </c>
      <c r="O4" s="11">
        <v>44908.0</v>
      </c>
      <c r="P4" s="12" t="s">
        <v>36</v>
      </c>
      <c r="Q4" s="12" t="s">
        <v>37</v>
      </c>
      <c r="R4" s="12" t="s">
        <v>25</v>
      </c>
      <c r="S4" s="12" t="s">
        <v>38</v>
      </c>
      <c r="T4" s="13" t="str">
        <f t="shared" si="1"/>
        <v>Y</v>
      </c>
      <c r="U4" s="12" t="str">
        <f t="shared" si="2"/>
        <v>Y</v>
      </c>
      <c r="V4" s="12" t="s">
        <v>39</v>
      </c>
    </row>
    <row r="5" ht="12.75" customHeight="1">
      <c r="A5" s="7">
        <v>46820.0</v>
      </c>
      <c r="B5" s="8" t="s">
        <v>40</v>
      </c>
      <c r="C5" s="8" t="s">
        <v>41</v>
      </c>
      <c r="D5" s="9" t="s">
        <v>18</v>
      </c>
      <c r="E5" s="7">
        <v>8.0</v>
      </c>
      <c r="F5" s="8" t="s">
        <v>42</v>
      </c>
      <c r="G5" s="9" t="s">
        <v>43</v>
      </c>
      <c r="H5" s="9" t="s">
        <v>44</v>
      </c>
      <c r="I5" s="9" t="s">
        <v>25</v>
      </c>
      <c r="J5" s="10" t="str">
        <f>IFERROR(VLOOKUP(A5, Sheet1!$O$1:$V$156, 6, FALSE), "")</f>
        <v>Y</v>
      </c>
      <c r="K5" s="10" t="str">
        <f>IFERROR(VLOOKUP(A5, Sheet1!$O$1:$V$156, 7, FALSE), "")
</f>
        <v> </v>
      </c>
      <c r="O5" s="11">
        <v>44932.0</v>
      </c>
      <c r="P5" s="12" t="s">
        <v>45</v>
      </c>
      <c r="Q5" s="12" t="s">
        <v>46</v>
      </c>
      <c r="R5" s="12" t="s">
        <v>25</v>
      </c>
      <c r="S5" s="12" t="s">
        <v>47</v>
      </c>
      <c r="T5" s="13" t="str">
        <f t="shared" si="1"/>
        <v>Y</v>
      </c>
      <c r="U5" s="12" t="str">
        <f t="shared" si="2"/>
        <v>Y</v>
      </c>
      <c r="V5" s="12" t="s">
        <v>39</v>
      </c>
    </row>
    <row r="6" ht="12.75" customHeight="1">
      <c r="A6" s="7">
        <v>46820.0</v>
      </c>
      <c r="B6" s="8" t="s">
        <v>40</v>
      </c>
      <c r="C6" s="8" t="s">
        <v>41</v>
      </c>
      <c r="D6" s="9" t="s">
        <v>18</v>
      </c>
      <c r="E6" s="7">
        <v>8.0</v>
      </c>
      <c r="F6" s="8" t="s">
        <v>48</v>
      </c>
      <c r="G6" s="9" t="s">
        <v>28</v>
      </c>
      <c r="H6" s="9" t="s">
        <v>21</v>
      </c>
      <c r="I6" s="9" t="s">
        <v>25</v>
      </c>
      <c r="J6" s="10" t="str">
        <f>IFERROR(VLOOKUP(A6, Sheet1!$O$1:$V$156, 6, FALSE), "")</f>
        <v>Y</v>
      </c>
      <c r="K6" s="10" t="str">
        <f>IFERROR(VLOOKUP(A6, Sheet1!$O$1:$V$156, 7, FALSE), "")
</f>
        <v> </v>
      </c>
      <c r="O6" s="11">
        <v>44887.0</v>
      </c>
      <c r="P6" s="12" t="s">
        <v>49</v>
      </c>
      <c r="Q6" s="12" t="s">
        <v>50</v>
      </c>
      <c r="R6" s="12" t="s">
        <v>25</v>
      </c>
      <c r="S6" s="12" t="s">
        <v>51</v>
      </c>
      <c r="T6" s="13" t="str">
        <f t="shared" si="1"/>
        <v>Y</v>
      </c>
      <c r="U6" s="12" t="str">
        <f t="shared" si="2"/>
        <v>Y</v>
      </c>
      <c r="V6" s="12" t="s">
        <v>39</v>
      </c>
    </row>
    <row r="7" ht="12.75" customHeight="1">
      <c r="A7" s="7">
        <v>46820.0</v>
      </c>
      <c r="B7" s="8" t="s">
        <v>40</v>
      </c>
      <c r="C7" s="8" t="s">
        <v>41</v>
      </c>
      <c r="D7" s="9" t="s">
        <v>18</v>
      </c>
      <c r="E7" s="7">
        <v>8.0</v>
      </c>
      <c r="F7" s="8" t="s">
        <v>52</v>
      </c>
      <c r="G7" s="9" t="s">
        <v>28</v>
      </c>
      <c r="H7" s="9" t="s">
        <v>35</v>
      </c>
      <c r="I7" s="9" t="s">
        <v>25</v>
      </c>
      <c r="J7" s="10" t="str">
        <f>IFERROR(VLOOKUP(A7, Sheet1!$O$1:$V$156, 6, FALSE), "")</f>
        <v>Y</v>
      </c>
      <c r="K7" s="10" t="str">
        <f>IFERROR(VLOOKUP(A7, Sheet1!$O$1:$V$156, 7, FALSE), "")
</f>
        <v> </v>
      </c>
      <c r="O7" s="11">
        <v>44820.0</v>
      </c>
      <c r="P7" s="12" t="s">
        <v>53</v>
      </c>
      <c r="Q7" s="12" t="s">
        <v>54</v>
      </c>
      <c r="R7" s="12" t="s">
        <v>25</v>
      </c>
      <c r="S7" s="12" t="s">
        <v>55</v>
      </c>
      <c r="T7" s="13" t="str">
        <f t="shared" si="1"/>
        <v>Y</v>
      </c>
      <c r="U7" s="12" t="str">
        <f t="shared" si="2"/>
        <v>Y</v>
      </c>
      <c r="V7" s="12" t="s">
        <v>39</v>
      </c>
    </row>
    <row r="8" ht="12.75" customHeight="1">
      <c r="A8" s="7">
        <v>46820.0</v>
      </c>
      <c r="B8" s="8" t="s">
        <v>40</v>
      </c>
      <c r="C8" s="8" t="s">
        <v>41</v>
      </c>
      <c r="D8" s="9" t="s">
        <v>18</v>
      </c>
      <c r="E8" s="7">
        <v>8.0</v>
      </c>
      <c r="F8" s="8" t="s">
        <v>56</v>
      </c>
      <c r="G8" s="9" t="s">
        <v>57</v>
      </c>
      <c r="H8" s="9" t="s">
        <v>44</v>
      </c>
      <c r="I8" s="9" t="s">
        <v>25</v>
      </c>
      <c r="J8" s="10" t="str">
        <f>IFERROR(VLOOKUP(A8, Sheet1!$O$1:$V$156, 6, FALSE), "")</f>
        <v>Y</v>
      </c>
      <c r="K8" s="10" t="str">
        <f>IFERROR(VLOOKUP(A8, Sheet1!$O$1:$V$156, 7, FALSE), "")
</f>
        <v> </v>
      </c>
      <c r="O8" s="11">
        <v>44296.0</v>
      </c>
      <c r="P8" s="12" t="s">
        <v>58</v>
      </c>
      <c r="Q8" s="12" t="s">
        <v>59</v>
      </c>
      <c r="R8" s="12" t="s">
        <v>25</v>
      </c>
      <c r="S8" s="12" t="s">
        <v>60</v>
      </c>
      <c r="T8" s="13" t="str">
        <f t="shared" si="1"/>
        <v>Y</v>
      </c>
      <c r="U8" s="12" t="str">
        <f t="shared" si="2"/>
        <v>Y</v>
      </c>
      <c r="V8" s="12" t="s">
        <v>39</v>
      </c>
    </row>
    <row r="9" ht="12.75" customHeight="1">
      <c r="A9" s="7">
        <v>46820.0</v>
      </c>
      <c r="B9" s="8" t="s">
        <v>40</v>
      </c>
      <c r="C9" s="8" t="s">
        <v>41</v>
      </c>
      <c r="D9" s="9" t="s">
        <v>18</v>
      </c>
      <c r="E9" s="7">
        <v>8.0</v>
      </c>
      <c r="F9" s="8" t="s">
        <v>61</v>
      </c>
      <c r="G9" s="9" t="s">
        <v>28</v>
      </c>
      <c r="H9" s="9" t="s">
        <v>21</v>
      </c>
      <c r="I9" s="9" t="s">
        <v>25</v>
      </c>
      <c r="J9" s="10" t="str">
        <f>IFERROR(VLOOKUP(A9, Sheet1!$O$1:$V$156, 6, FALSE), "")</f>
        <v>Y</v>
      </c>
      <c r="K9" s="10" t="str">
        <f>IFERROR(VLOOKUP(A9, Sheet1!$O$1:$V$156, 7, FALSE), "")
</f>
        <v> </v>
      </c>
      <c r="O9" s="11">
        <v>43889.0</v>
      </c>
      <c r="P9" s="12" t="s">
        <v>62</v>
      </c>
      <c r="Q9" s="12" t="s">
        <v>63</v>
      </c>
      <c r="R9" s="12" t="s">
        <v>25</v>
      </c>
      <c r="S9" s="12" t="s">
        <v>64</v>
      </c>
      <c r="T9" s="13" t="str">
        <f t="shared" si="1"/>
        <v>Y</v>
      </c>
      <c r="U9" s="12" t="str">
        <f t="shared" si="2"/>
        <v>Y</v>
      </c>
      <c r="V9" s="12" t="s">
        <v>39</v>
      </c>
    </row>
    <row r="10" ht="12.75" customHeight="1">
      <c r="A10" s="7">
        <v>47473.0</v>
      </c>
      <c r="B10" s="8" t="s">
        <v>65</v>
      </c>
      <c r="C10" s="8" t="s">
        <v>66</v>
      </c>
      <c r="D10" s="9" t="s">
        <v>18</v>
      </c>
      <c r="E10" s="7">
        <v>8.0</v>
      </c>
      <c r="F10" s="8" t="s">
        <v>48</v>
      </c>
      <c r="G10" s="9" t="s">
        <v>28</v>
      </c>
      <c r="H10" s="9" t="s">
        <v>21</v>
      </c>
      <c r="I10" s="9" t="s">
        <v>25</v>
      </c>
      <c r="J10" s="10" t="str">
        <f>IFERROR(VLOOKUP(A10, Sheet1!$O$1:$V$156, 6, FALSE), "")</f>
        <v/>
      </c>
      <c r="K10" s="10" t="str">
        <f>IFERROR(VLOOKUP(A10, Sheet1!$O$1:$V$156, 7, FALSE), "")
</f>
        <v/>
      </c>
      <c r="O10" s="11">
        <v>45258.0</v>
      </c>
      <c r="P10" s="12" t="s">
        <v>67</v>
      </c>
      <c r="Q10" s="12" t="s">
        <v>68</v>
      </c>
      <c r="R10" s="12" t="s">
        <v>25</v>
      </c>
      <c r="T10" s="13" t="str">
        <f t="shared" si="1"/>
        <v> </v>
      </c>
      <c r="U10" s="12" t="str">
        <f t="shared" si="2"/>
        <v>Y</v>
      </c>
      <c r="V10" s="12" t="s">
        <v>39</v>
      </c>
    </row>
    <row r="11" ht="12.75" customHeight="1">
      <c r="A11" s="7">
        <v>47473.0</v>
      </c>
      <c r="B11" s="8" t="s">
        <v>65</v>
      </c>
      <c r="C11" s="8" t="s">
        <v>66</v>
      </c>
      <c r="D11" s="9" t="s">
        <v>18</v>
      </c>
      <c r="E11" s="7">
        <v>8.0</v>
      </c>
      <c r="F11" s="8" t="s">
        <v>69</v>
      </c>
      <c r="G11" s="9" t="s">
        <v>43</v>
      </c>
      <c r="H11" s="9" t="s">
        <v>44</v>
      </c>
      <c r="I11" s="9" t="s">
        <v>25</v>
      </c>
      <c r="J11" s="10" t="str">
        <f>IFERROR(VLOOKUP(A11, Sheet1!$O$1:$V$156, 6, FALSE), "")</f>
        <v/>
      </c>
      <c r="K11" s="10" t="str">
        <f>IFERROR(VLOOKUP(A11, Sheet1!$O$1:$V$156, 7, FALSE), "")
</f>
        <v/>
      </c>
      <c r="O11" s="11">
        <v>44421.0</v>
      </c>
      <c r="P11" s="12" t="s">
        <v>70</v>
      </c>
      <c r="Q11" s="12" t="s">
        <v>71</v>
      </c>
      <c r="R11" s="12" t="s">
        <v>25</v>
      </c>
      <c r="S11" s="12" t="s">
        <v>72</v>
      </c>
      <c r="T11" s="13" t="str">
        <f t="shared" si="1"/>
        <v>Y</v>
      </c>
      <c r="U11" s="12" t="str">
        <f t="shared" si="2"/>
        <v>Y</v>
      </c>
      <c r="V11" s="12" t="s">
        <v>39</v>
      </c>
    </row>
    <row r="12" ht="12.75" customHeight="1">
      <c r="A12" s="7">
        <v>47473.0</v>
      </c>
      <c r="B12" s="8" t="s">
        <v>65</v>
      </c>
      <c r="C12" s="8" t="s">
        <v>66</v>
      </c>
      <c r="D12" s="9" t="s">
        <v>18</v>
      </c>
      <c r="E12" s="7">
        <v>8.0</v>
      </c>
      <c r="F12" s="8" t="s">
        <v>56</v>
      </c>
      <c r="G12" s="9" t="s">
        <v>28</v>
      </c>
      <c r="H12" s="9" t="s">
        <v>21</v>
      </c>
      <c r="I12" s="9" t="s">
        <v>25</v>
      </c>
      <c r="J12" s="10" t="str">
        <f>IFERROR(VLOOKUP(A12, Sheet1!$O$1:$V$156, 6, FALSE), "")</f>
        <v/>
      </c>
      <c r="K12" s="10" t="str">
        <f>IFERROR(VLOOKUP(A12, Sheet1!$O$1:$V$156, 7, FALSE), "")
</f>
        <v/>
      </c>
      <c r="O12" s="11">
        <v>45263.0</v>
      </c>
      <c r="P12" s="12" t="s">
        <v>73</v>
      </c>
      <c r="Q12" s="12" t="s">
        <v>74</v>
      </c>
      <c r="R12" s="12" t="s">
        <v>25</v>
      </c>
      <c r="S12" s="12" t="s">
        <v>75</v>
      </c>
      <c r="T12" s="13" t="str">
        <f t="shared" si="1"/>
        <v>Y</v>
      </c>
      <c r="U12" s="12" t="str">
        <f t="shared" si="2"/>
        <v>Y</v>
      </c>
      <c r="V12" s="12" t="s">
        <v>39</v>
      </c>
    </row>
    <row r="13" ht="12.75" customHeight="1">
      <c r="A13" s="7">
        <v>47473.0</v>
      </c>
      <c r="B13" s="8" t="s">
        <v>65</v>
      </c>
      <c r="C13" s="8" t="s">
        <v>66</v>
      </c>
      <c r="D13" s="9" t="s">
        <v>18</v>
      </c>
      <c r="E13" s="7">
        <v>8.0</v>
      </c>
      <c r="F13" s="8" t="s">
        <v>61</v>
      </c>
      <c r="G13" s="9" t="s">
        <v>28</v>
      </c>
      <c r="H13" s="9" t="s">
        <v>21</v>
      </c>
      <c r="I13" s="9" t="s">
        <v>25</v>
      </c>
      <c r="J13" s="10" t="str">
        <f>IFERROR(VLOOKUP(A13, Sheet1!$O$1:$V$156, 6, FALSE), "")</f>
        <v/>
      </c>
      <c r="K13" s="10" t="str">
        <f>IFERROR(VLOOKUP(A13, Sheet1!$O$1:$V$156, 7, FALSE), "")
</f>
        <v/>
      </c>
      <c r="O13" s="11">
        <v>45235.0</v>
      </c>
      <c r="P13" s="12" t="s">
        <v>76</v>
      </c>
      <c r="Q13" s="12" t="s">
        <v>77</v>
      </c>
      <c r="R13" s="12" t="s">
        <v>25</v>
      </c>
      <c r="S13" s="12" t="s">
        <v>78</v>
      </c>
      <c r="T13" s="13" t="str">
        <f t="shared" si="1"/>
        <v>Y</v>
      </c>
      <c r="U13" s="12" t="str">
        <f t="shared" si="2"/>
        <v>Y</v>
      </c>
      <c r="V13" s="12" t="s">
        <v>39</v>
      </c>
    </row>
    <row r="14" ht="12.75" customHeight="1">
      <c r="A14" s="7">
        <v>46847.0</v>
      </c>
      <c r="B14" s="8" t="s">
        <v>79</v>
      </c>
      <c r="C14" s="8" t="s">
        <v>80</v>
      </c>
      <c r="D14" s="9" t="s">
        <v>18</v>
      </c>
      <c r="E14" s="7">
        <v>8.0</v>
      </c>
      <c r="F14" s="8" t="s">
        <v>61</v>
      </c>
      <c r="G14" s="9" t="s">
        <v>28</v>
      </c>
      <c r="H14" s="9" t="s">
        <v>21</v>
      </c>
      <c r="I14" s="9" t="s">
        <v>25</v>
      </c>
      <c r="J14" s="10" t="str">
        <f>IFERROR(VLOOKUP(A14, Sheet1!$O$1:$V$156, 6, FALSE), "")</f>
        <v/>
      </c>
      <c r="K14" s="10" t="str">
        <f>IFERROR(VLOOKUP(A14, Sheet1!$O$1:$V$156, 7, FALSE), "")
</f>
        <v/>
      </c>
      <c r="O14" s="11">
        <v>45334.0</v>
      </c>
      <c r="P14" s="12" t="s">
        <v>81</v>
      </c>
      <c r="Q14" s="12" t="s">
        <v>82</v>
      </c>
      <c r="R14" s="12" t="s">
        <v>22</v>
      </c>
      <c r="T14" s="13" t="str">
        <f t="shared" si="1"/>
        <v> </v>
      </c>
      <c r="U14" s="12" t="str">
        <f t="shared" si="2"/>
        <v>Y</v>
      </c>
      <c r="V14" s="12" t="s">
        <v>39</v>
      </c>
    </row>
    <row r="15" ht="12.75" customHeight="1">
      <c r="A15" s="7">
        <v>45106.0</v>
      </c>
      <c r="B15" s="8" t="s">
        <v>83</v>
      </c>
      <c r="C15" s="8" t="s">
        <v>84</v>
      </c>
      <c r="D15" s="9" t="s">
        <v>18</v>
      </c>
      <c r="E15" s="7">
        <v>6.0</v>
      </c>
      <c r="F15" s="8" t="s">
        <v>85</v>
      </c>
      <c r="G15" s="9" t="s">
        <v>86</v>
      </c>
      <c r="H15" s="9" t="s">
        <v>35</v>
      </c>
      <c r="I15" s="9" t="s">
        <v>25</v>
      </c>
      <c r="J15" s="10" t="str">
        <f>IFERROR(VLOOKUP(A15, Sheet1!$O$1:$V$156, 6, FALSE), "")</f>
        <v>Y</v>
      </c>
      <c r="K15" s="10" t="str">
        <f>IFERROR(VLOOKUP(A15, Sheet1!$O$1:$V$156, 7, FALSE), "")
</f>
        <v> </v>
      </c>
      <c r="O15" s="11">
        <v>44284.0</v>
      </c>
      <c r="P15" s="12" t="s">
        <v>87</v>
      </c>
      <c r="Q15" s="12" t="s">
        <v>88</v>
      </c>
      <c r="R15" s="12" t="s">
        <v>25</v>
      </c>
      <c r="T15" s="13" t="str">
        <f t="shared" si="1"/>
        <v> </v>
      </c>
      <c r="U15" s="12" t="str">
        <f t="shared" si="2"/>
        <v>Y</v>
      </c>
      <c r="V15" s="12" t="s">
        <v>39</v>
      </c>
    </row>
    <row r="16" ht="12.75" customHeight="1">
      <c r="A16" s="7">
        <v>44720.0</v>
      </c>
      <c r="B16" s="8" t="s">
        <v>89</v>
      </c>
      <c r="C16" s="8" t="s">
        <v>90</v>
      </c>
      <c r="D16" s="9" t="s">
        <v>18</v>
      </c>
      <c r="E16" s="7">
        <v>7.0</v>
      </c>
      <c r="F16" s="8" t="s">
        <v>91</v>
      </c>
      <c r="G16" s="9" t="s">
        <v>92</v>
      </c>
      <c r="H16" s="9" t="s">
        <v>21</v>
      </c>
      <c r="I16" s="9" t="s">
        <v>25</v>
      </c>
      <c r="J16" s="10" t="str">
        <f>IFERROR(VLOOKUP(A16, Sheet1!$O$1:$V$156, 6, FALSE), "")</f>
        <v/>
      </c>
      <c r="K16" s="10" t="str">
        <f>IFERROR(VLOOKUP(A16, Sheet1!$O$1:$V$156, 7, FALSE), "")
</f>
        <v/>
      </c>
      <c r="O16" s="11">
        <v>45000.0</v>
      </c>
      <c r="P16" s="12" t="s">
        <v>93</v>
      </c>
      <c r="Q16" s="12" t="s">
        <v>94</v>
      </c>
      <c r="R16" s="12" t="s">
        <v>25</v>
      </c>
      <c r="T16" s="13" t="str">
        <f t="shared" si="1"/>
        <v> </v>
      </c>
      <c r="U16" s="12" t="str">
        <f t="shared" si="2"/>
        <v>Y</v>
      </c>
      <c r="V16" s="12" t="s">
        <v>39</v>
      </c>
    </row>
    <row r="17" ht="12.75" customHeight="1">
      <c r="A17" s="7">
        <v>44720.0</v>
      </c>
      <c r="B17" s="8" t="s">
        <v>89</v>
      </c>
      <c r="C17" s="8" t="s">
        <v>90</v>
      </c>
      <c r="D17" s="9" t="s">
        <v>18</v>
      </c>
      <c r="E17" s="7">
        <v>7.0</v>
      </c>
      <c r="F17" s="8" t="s">
        <v>95</v>
      </c>
      <c r="G17" s="9" t="s">
        <v>20</v>
      </c>
      <c r="H17" s="9" t="s">
        <v>21</v>
      </c>
      <c r="I17" s="9" t="s">
        <v>25</v>
      </c>
      <c r="J17" s="10" t="str">
        <f>IFERROR(VLOOKUP(A17, Sheet1!$O$1:$V$156, 6, FALSE), "")</f>
        <v/>
      </c>
      <c r="K17" s="10" t="str">
        <f>IFERROR(VLOOKUP(A17, Sheet1!$O$1:$V$156, 7, FALSE), "")
</f>
        <v/>
      </c>
      <c r="O17" s="11">
        <v>44763.0</v>
      </c>
      <c r="P17" s="12" t="s">
        <v>96</v>
      </c>
      <c r="Q17" s="12" t="s">
        <v>97</v>
      </c>
      <c r="R17" s="12" t="s">
        <v>28</v>
      </c>
      <c r="T17" s="13" t="str">
        <f t="shared" si="1"/>
        <v> </v>
      </c>
      <c r="U17" s="12" t="str">
        <f t="shared" si="2"/>
        <v>Y</v>
      </c>
      <c r="V17" s="12" t="s">
        <v>39</v>
      </c>
    </row>
    <row r="18" ht="12.75" customHeight="1">
      <c r="A18" s="7">
        <v>44720.0</v>
      </c>
      <c r="B18" s="8" t="s">
        <v>89</v>
      </c>
      <c r="C18" s="8" t="s">
        <v>90</v>
      </c>
      <c r="D18" s="9" t="s">
        <v>18</v>
      </c>
      <c r="E18" s="7">
        <v>7.0</v>
      </c>
      <c r="F18" s="8" t="s">
        <v>42</v>
      </c>
      <c r="G18" s="9" t="s">
        <v>98</v>
      </c>
      <c r="H18" s="9" t="s">
        <v>35</v>
      </c>
      <c r="I18" s="9" t="s">
        <v>25</v>
      </c>
      <c r="J18" s="10" t="str">
        <f>IFERROR(VLOOKUP(A18, Sheet1!$O$1:$V$156, 6, FALSE), "")</f>
        <v/>
      </c>
      <c r="K18" s="10" t="str">
        <f>IFERROR(VLOOKUP(A18, Sheet1!$O$1:$V$156, 7, FALSE), "")
</f>
        <v/>
      </c>
      <c r="O18" s="11">
        <v>44956.0</v>
      </c>
      <c r="P18" s="12" t="s">
        <v>99</v>
      </c>
      <c r="Q18" s="12" t="s">
        <v>100</v>
      </c>
      <c r="R18" s="12" t="s">
        <v>25</v>
      </c>
      <c r="T18" s="13" t="str">
        <f t="shared" si="1"/>
        <v> </v>
      </c>
      <c r="U18" s="12" t="str">
        <f t="shared" si="2"/>
        <v>Y</v>
      </c>
      <c r="V18" s="12" t="s">
        <v>39</v>
      </c>
    </row>
    <row r="19" ht="12.75" customHeight="1">
      <c r="A19" s="7">
        <v>47149.0</v>
      </c>
      <c r="B19" s="8" t="s">
        <v>101</v>
      </c>
      <c r="C19" s="8" t="s">
        <v>102</v>
      </c>
      <c r="D19" s="9" t="s">
        <v>28</v>
      </c>
      <c r="E19" s="7">
        <v>7.0</v>
      </c>
      <c r="F19" s="8" t="s">
        <v>42</v>
      </c>
      <c r="G19" s="9" t="s">
        <v>98</v>
      </c>
      <c r="H19" s="9" t="s">
        <v>35</v>
      </c>
      <c r="I19" s="9" t="s">
        <v>25</v>
      </c>
      <c r="J19" s="10" t="str">
        <f>IFERROR(VLOOKUP(A19, Sheet1!$O$1:$V$156, 6, FALSE), "")</f>
        <v/>
      </c>
      <c r="K19" s="10" t="str">
        <f>IFERROR(VLOOKUP(A19, Sheet1!$O$1:$V$156, 7, FALSE), "")
</f>
        <v/>
      </c>
      <c r="O19" s="11">
        <v>44828.0</v>
      </c>
      <c r="P19" s="12" t="s">
        <v>103</v>
      </c>
      <c r="Q19" s="12" t="s">
        <v>104</v>
      </c>
      <c r="R19" s="12" t="s">
        <v>25</v>
      </c>
      <c r="T19" s="13" t="str">
        <f t="shared" si="1"/>
        <v> </v>
      </c>
      <c r="U19" s="12" t="str">
        <f t="shared" si="2"/>
        <v>Y</v>
      </c>
      <c r="V19" s="12" t="s">
        <v>39</v>
      </c>
    </row>
    <row r="20" ht="12.75" customHeight="1">
      <c r="A20" s="7">
        <v>45162.0</v>
      </c>
      <c r="B20" s="8" t="s">
        <v>105</v>
      </c>
      <c r="C20" s="8" t="s">
        <v>106</v>
      </c>
      <c r="D20" s="9" t="s">
        <v>18</v>
      </c>
      <c r="E20" s="7">
        <v>6.0</v>
      </c>
      <c r="F20" s="8" t="s">
        <v>107</v>
      </c>
      <c r="G20" s="9" t="s">
        <v>20</v>
      </c>
      <c r="H20" s="9" t="s">
        <v>21</v>
      </c>
      <c r="I20" s="9" t="s">
        <v>25</v>
      </c>
      <c r="J20" s="10" t="str">
        <f>IFERROR(VLOOKUP(A20, Sheet1!$O$1:$V$156, 6, FALSE), "")</f>
        <v> </v>
      </c>
      <c r="K20" s="10" t="str">
        <f>IFERROR(VLOOKUP(A20, Sheet1!$O$1:$V$156, 7, FALSE), "")
</f>
        <v>Y</v>
      </c>
      <c r="O20" s="11">
        <v>44886.0</v>
      </c>
      <c r="P20" s="12" t="s">
        <v>108</v>
      </c>
      <c r="Q20" s="12" t="s">
        <v>109</v>
      </c>
      <c r="R20" s="12" t="s">
        <v>25</v>
      </c>
      <c r="T20" s="13" t="str">
        <f t="shared" si="1"/>
        <v> </v>
      </c>
      <c r="U20" s="12" t="str">
        <f t="shared" si="2"/>
        <v>Y</v>
      </c>
      <c r="V20" s="12" t="s">
        <v>39</v>
      </c>
    </row>
    <row r="21" ht="12.75" customHeight="1">
      <c r="A21" s="7">
        <v>47215.0</v>
      </c>
      <c r="B21" s="8" t="s">
        <v>110</v>
      </c>
      <c r="C21" s="8" t="s">
        <v>111</v>
      </c>
      <c r="D21" s="9" t="s">
        <v>28</v>
      </c>
      <c r="E21" s="7">
        <v>6.0</v>
      </c>
      <c r="F21" s="8" t="s">
        <v>112</v>
      </c>
      <c r="G21" s="9" t="s">
        <v>113</v>
      </c>
      <c r="H21" s="9" t="s">
        <v>35</v>
      </c>
      <c r="I21" s="9" t="s">
        <v>25</v>
      </c>
      <c r="J21" s="10" t="str">
        <f>IFERROR(VLOOKUP(A21, Sheet1!$O$1:$V$156, 6, FALSE), "")</f>
        <v/>
      </c>
      <c r="K21" s="10" t="str">
        <f>IFERROR(VLOOKUP(A21, Sheet1!$O$1:$V$156, 7, FALSE), "")
</f>
        <v/>
      </c>
      <c r="O21" s="11">
        <v>44482.0</v>
      </c>
      <c r="P21" s="12" t="s">
        <v>114</v>
      </c>
      <c r="Q21" s="12" t="s">
        <v>115</v>
      </c>
      <c r="R21" s="12" t="s">
        <v>25</v>
      </c>
      <c r="T21" s="13" t="str">
        <f t="shared" si="1"/>
        <v> </v>
      </c>
      <c r="U21" s="12" t="str">
        <f t="shared" si="2"/>
        <v>Y</v>
      </c>
      <c r="V21" s="12" t="s">
        <v>39</v>
      </c>
    </row>
    <row r="22" ht="12.75" customHeight="1">
      <c r="A22" s="7">
        <v>45319.0</v>
      </c>
      <c r="B22" s="8" t="s">
        <v>116</v>
      </c>
      <c r="C22" s="8" t="s">
        <v>117</v>
      </c>
      <c r="D22" s="9" t="s">
        <v>18</v>
      </c>
      <c r="E22" s="7">
        <v>7.0</v>
      </c>
      <c r="F22" s="8" t="s">
        <v>42</v>
      </c>
      <c r="G22" s="9" t="s">
        <v>118</v>
      </c>
      <c r="H22" s="9" t="s">
        <v>35</v>
      </c>
      <c r="I22" s="9" t="s">
        <v>25</v>
      </c>
      <c r="J22" s="10" t="str">
        <f>IFERROR(VLOOKUP(A22, Sheet1!$O$1:$V$156, 6, FALSE), "")</f>
        <v/>
      </c>
      <c r="K22" s="10" t="str">
        <f>IFERROR(VLOOKUP(A22, Sheet1!$O$1:$V$156, 7, FALSE), "")
</f>
        <v/>
      </c>
      <c r="O22" s="11">
        <v>45210.0</v>
      </c>
      <c r="P22" s="12" t="s">
        <v>119</v>
      </c>
      <c r="Q22" s="12" t="s">
        <v>120</v>
      </c>
      <c r="R22" s="12" t="s">
        <v>25</v>
      </c>
      <c r="T22" s="13" t="str">
        <f t="shared" si="1"/>
        <v> </v>
      </c>
      <c r="U22" s="12" t="str">
        <f t="shared" si="2"/>
        <v>Y</v>
      </c>
      <c r="V22" s="12" t="s">
        <v>39</v>
      </c>
    </row>
    <row r="23" ht="12.75" customHeight="1">
      <c r="A23" s="7">
        <v>47179.0</v>
      </c>
      <c r="B23" s="8" t="s">
        <v>121</v>
      </c>
      <c r="C23" s="8" t="s">
        <v>122</v>
      </c>
      <c r="D23" s="9" t="s">
        <v>18</v>
      </c>
      <c r="E23" s="7">
        <v>8.0</v>
      </c>
      <c r="F23" s="8" t="s">
        <v>123</v>
      </c>
      <c r="G23" s="9" t="s">
        <v>20</v>
      </c>
      <c r="H23" s="9" t="s">
        <v>21</v>
      </c>
      <c r="I23" s="9" t="s">
        <v>25</v>
      </c>
      <c r="J23" s="10" t="str">
        <f>IFERROR(VLOOKUP(A23, Sheet1!$O$1:$V$156, 6, FALSE), "")</f>
        <v/>
      </c>
      <c r="K23" s="10" t="str">
        <f>IFERROR(VLOOKUP(A23, Sheet1!$O$1:$V$156, 7, FALSE), "")
</f>
        <v/>
      </c>
      <c r="O23" s="11">
        <v>44702.0</v>
      </c>
      <c r="P23" s="12" t="s">
        <v>124</v>
      </c>
      <c r="Q23" s="12" t="s">
        <v>125</v>
      </c>
      <c r="R23" s="12" t="s">
        <v>25</v>
      </c>
      <c r="T23" s="13" t="str">
        <f t="shared" si="1"/>
        <v> </v>
      </c>
      <c r="U23" s="12" t="str">
        <f t="shared" si="2"/>
        <v>Y</v>
      </c>
      <c r="V23" s="12" t="s">
        <v>39</v>
      </c>
    </row>
    <row r="24" ht="12.75" customHeight="1">
      <c r="A24" s="7">
        <v>46851.0</v>
      </c>
      <c r="B24" s="8" t="s">
        <v>126</v>
      </c>
      <c r="C24" s="8" t="s">
        <v>127</v>
      </c>
      <c r="D24" s="9" t="s">
        <v>28</v>
      </c>
      <c r="E24" s="7">
        <v>8.0</v>
      </c>
      <c r="F24" s="8" t="s">
        <v>128</v>
      </c>
      <c r="G24" s="9" t="s">
        <v>28</v>
      </c>
      <c r="H24" s="9" t="s">
        <v>35</v>
      </c>
      <c r="I24" s="9" t="s">
        <v>129</v>
      </c>
      <c r="J24" s="10" t="str">
        <f>IFERROR(VLOOKUP(A24, Sheet1!$O$1:$V$156, 6, FALSE), "")</f>
        <v/>
      </c>
      <c r="K24" s="10" t="str">
        <f>IFERROR(VLOOKUP(A24, Sheet1!$O$1:$V$156, 7, FALSE), "")
</f>
        <v/>
      </c>
      <c r="O24" s="11">
        <v>43915.0</v>
      </c>
      <c r="P24" s="12" t="s">
        <v>130</v>
      </c>
      <c r="Q24" s="12" t="s">
        <v>131</v>
      </c>
      <c r="R24" s="12" t="s">
        <v>25</v>
      </c>
      <c r="T24" s="13" t="str">
        <f t="shared" si="1"/>
        <v> </v>
      </c>
      <c r="U24" s="12" t="str">
        <f t="shared" si="2"/>
        <v>Y</v>
      </c>
      <c r="V24" s="12" t="s">
        <v>39</v>
      </c>
    </row>
    <row r="25" ht="12.75" customHeight="1">
      <c r="A25" s="7">
        <v>46851.0</v>
      </c>
      <c r="B25" s="8" t="s">
        <v>126</v>
      </c>
      <c r="C25" s="8" t="s">
        <v>127</v>
      </c>
      <c r="D25" s="9" t="s">
        <v>28</v>
      </c>
      <c r="E25" s="7">
        <v>8.0</v>
      </c>
      <c r="F25" s="8" t="s">
        <v>48</v>
      </c>
      <c r="G25" s="9" t="s">
        <v>92</v>
      </c>
      <c r="H25" s="9" t="s">
        <v>21</v>
      </c>
      <c r="I25" s="9" t="s">
        <v>129</v>
      </c>
      <c r="J25" s="10" t="str">
        <f>IFERROR(VLOOKUP(A25, Sheet1!$O$1:$V$156, 6, FALSE), "")</f>
        <v/>
      </c>
      <c r="K25" s="10" t="str">
        <f>IFERROR(VLOOKUP(A25, Sheet1!$O$1:$V$156, 7, FALSE), "")
</f>
        <v/>
      </c>
      <c r="O25" s="11">
        <v>44408.0</v>
      </c>
      <c r="P25" s="12" t="s">
        <v>132</v>
      </c>
      <c r="Q25" s="12" t="s">
        <v>133</v>
      </c>
      <c r="R25" s="12" t="s">
        <v>129</v>
      </c>
      <c r="T25" s="13" t="str">
        <f t="shared" si="1"/>
        <v> </v>
      </c>
      <c r="U25" s="12" t="str">
        <f t="shared" si="2"/>
        <v>Y</v>
      </c>
      <c r="V25" s="12" t="s">
        <v>39</v>
      </c>
    </row>
    <row r="26" ht="12.75" customHeight="1">
      <c r="A26" s="7">
        <v>46851.0</v>
      </c>
      <c r="B26" s="8" t="s">
        <v>126</v>
      </c>
      <c r="C26" s="8" t="s">
        <v>127</v>
      </c>
      <c r="D26" s="9" t="s">
        <v>28</v>
      </c>
      <c r="E26" s="7">
        <v>8.0</v>
      </c>
      <c r="F26" s="8" t="s">
        <v>56</v>
      </c>
      <c r="G26" s="9" t="s">
        <v>28</v>
      </c>
      <c r="H26" s="9" t="s">
        <v>35</v>
      </c>
      <c r="I26" s="9" t="s">
        <v>129</v>
      </c>
      <c r="J26" s="10" t="str">
        <f>IFERROR(VLOOKUP(A26, Sheet1!$O$1:$V$156, 6, FALSE), "")</f>
        <v/>
      </c>
      <c r="K26" s="10" t="str">
        <f>IFERROR(VLOOKUP(A26, Sheet1!$O$1:$V$156, 7, FALSE), "")
</f>
        <v/>
      </c>
      <c r="O26" s="11">
        <v>44869.0</v>
      </c>
      <c r="P26" s="12" t="s">
        <v>134</v>
      </c>
      <c r="Q26" s="12" t="s">
        <v>135</v>
      </c>
      <c r="R26" s="12" t="s">
        <v>25</v>
      </c>
      <c r="T26" s="13" t="str">
        <f t="shared" si="1"/>
        <v> </v>
      </c>
      <c r="U26" s="12" t="str">
        <f t="shared" si="2"/>
        <v>Y</v>
      </c>
      <c r="V26" s="12" t="s">
        <v>39</v>
      </c>
    </row>
    <row r="27" ht="12.75" customHeight="1">
      <c r="A27" s="7">
        <v>46851.0</v>
      </c>
      <c r="B27" s="8" t="s">
        <v>126</v>
      </c>
      <c r="C27" s="8" t="s">
        <v>127</v>
      </c>
      <c r="D27" s="9" t="s">
        <v>28</v>
      </c>
      <c r="E27" s="7">
        <v>8.0</v>
      </c>
      <c r="F27" s="8" t="s">
        <v>61</v>
      </c>
      <c r="G27" s="9" t="s">
        <v>28</v>
      </c>
      <c r="H27" s="9" t="s">
        <v>21</v>
      </c>
      <c r="I27" s="9" t="s">
        <v>129</v>
      </c>
      <c r="J27" s="10" t="str">
        <f>IFERROR(VLOOKUP(A27, Sheet1!$O$1:$V$156, 6, FALSE), "")</f>
        <v/>
      </c>
      <c r="K27" s="10" t="str">
        <f>IFERROR(VLOOKUP(A27, Sheet1!$O$1:$V$156, 7, FALSE), "")
</f>
        <v/>
      </c>
      <c r="O27" s="11">
        <v>45213.0</v>
      </c>
      <c r="P27" s="12" t="s">
        <v>136</v>
      </c>
      <c r="Q27" s="12" t="s">
        <v>137</v>
      </c>
      <c r="R27" s="12" t="s">
        <v>25</v>
      </c>
      <c r="T27" s="13" t="str">
        <f t="shared" si="1"/>
        <v> </v>
      </c>
      <c r="U27" s="12" t="str">
        <f t="shared" si="2"/>
        <v>Y</v>
      </c>
      <c r="V27" s="12" t="s">
        <v>39</v>
      </c>
    </row>
    <row r="28" ht="12.75" customHeight="1">
      <c r="A28" s="7">
        <v>45399.0</v>
      </c>
      <c r="B28" s="8" t="s">
        <v>138</v>
      </c>
      <c r="C28" s="8" t="s">
        <v>139</v>
      </c>
      <c r="D28" s="9" t="s">
        <v>18</v>
      </c>
      <c r="E28" s="7">
        <v>8.0</v>
      </c>
      <c r="F28" s="8" t="s">
        <v>61</v>
      </c>
      <c r="G28" s="9" t="s">
        <v>92</v>
      </c>
      <c r="H28" s="9" t="s">
        <v>21</v>
      </c>
      <c r="I28" s="9" t="s">
        <v>22</v>
      </c>
      <c r="J28" s="10" t="str">
        <f>IFERROR(VLOOKUP(A28, Sheet1!$O$1:$V$156, 6, FALSE), "")</f>
        <v/>
      </c>
      <c r="K28" s="10" t="str">
        <f>IFERROR(VLOOKUP(A28, Sheet1!$O$1:$V$156, 7, FALSE), "")
</f>
        <v/>
      </c>
      <c r="O28" s="11">
        <v>44877.0</v>
      </c>
      <c r="P28" s="12" t="s">
        <v>140</v>
      </c>
      <c r="Q28" s="12" t="s">
        <v>141</v>
      </c>
      <c r="R28" s="12" t="s">
        <v>129</v>
      </c>
      <c r="T28" s="13" t="str">
        <f t="shared" si="1"/>
        <v> </v>
      </c>
      <c r="U28" s="12" t="str">
        <f t="shared" si="2"/>
        <v>Y</v>
      </c>
      <c r="V28" s="12" t="s">
        <v>39</v>
      </c>
    </row>
    <row r="29" ht="12.75" customHeight="1">
      <c r="A29" s="7">
        <v>44735.0</v>
      </c>
      <c r="B29" s="8" t="s">
        <v>142</v>
      </c>
      <c r="C29" s="8" t="s">
        <v>143</v>
      </c>
      <c r="D29" s="9" t="s">
        <v>18</v>
      </c>
      <c r="E29" s="7">
        <v>7.0</v>
      </c>
      <c r="F29" s="8" t="s">
        <v>144</v>
      </c>
      <c r="G29" s="9" t="s">
        <v>86</v>
      </c>
      <c r="H29" s="9" t="s">
        <v>35</v>
      </c>
      <c r="I29" s="9" t="s">
        <v>25</v>
      </c>
      <c r="J29" s="10" t="str">
        <f>IFERROR(VLOOKUP(A29, Sheet1!$O$1:$V$156, 6, FALSE), "")</f>
        <v/>
      </c>
      <c r="K29" s="10" t="str">
        <f>IFERROR(VLOOKUP(A29, Sheet1!$O$1:$V$156, 7, FALSE), "")
</f>
        <v/>
      </c>
      <c r="O29" s="11">
        <v>44803.0</v>
      </c>
      <c r="P29" s="12" t="s">
        <v>145</v>
      </c>
      <c r="Q29" s="12" t="s">
        <v>146</v>
      </c>
      <c r="R29" s="12" t="s">
        <v>25</v>
      </c>
      <c r="T29" s="13" t="str">
        <f t="shared" si="1"/>
        <v> </v>
      </c>
      <c r="U29" s="12" t="str">
        <f t="shared" si="2"/>
        <v>Y</v>
      </c>
      <c r="V29" s="12" t="s">
        <v>39</v>
      </c>
    </row>
    <row r="30" ht="12.75" customHeight="1">
      <c r="A30" s="7">
        <v>47059.0</v>
      </c>
      <c r="B30" s="8" t="s">
        <v>147</v>
      </c>
      <c r="C30" s="8" t="s">
        <v>148</v>
      </c>
      <c r="D30" s="9" t="s">
        <v>18</v>
      </c>
      <c r="E30" s="7">
        <v>7.0</v>
      </c>
      <c r="F30" s="8" t="s">
        <v>149</v>
      </c>
      <c r="G30" s="9" t="s">
        <v>92</v>
      </c>
      <c r="H30" s="9" t="s">
        <v>21</v>
      </c>
      <c r="I30" s="9" t="s">
        <v>25</v>
      </c>
      <c r="J30" s="10" t="str">
        <f>IFERROR(VLOOKUP(A30, Sheet1!$O$1:$V$156, 6, FALSE), "")</f>
        <v> </v>
      </c>
      <c r="K30" s="10" t="str">
        <f>IFERROR(VLOOKUP(A30, Sheet1!$O$1:$V$156, 7, FALSE), "")
</f>
        <v>Y</v>
      </c>
      <c r="O30" s="11">
        <v>45110.0</v>
      </c>
      <c r="P30" s="12" t="s">
        <v>150</v>
      </c>
      <c r="Q30" s="12" t="s">
        <v>151</v>
      </c>
      <c r="R30" s="12" t="s">
        <v>25</v>
      </c>
      <c r="T30" s="13" t="str">
        <f t="shared" si="1"/>
        <v> </v>
      </c>
      <c r="U30" s="12" t="str">
        <f t="shared" si="2"/>
        <v>Y</v>
      </c>
      <c r="V30" s="12" t="s">
        <v>39</v>
      </c>
    </row>
    <row r="31" ht="12.75" customHeight="1">
      <c r="A31" s="7">
        <v>47059.0</v>
      </c>
      <c r="B31" s="8" t="s">
        <v>147</v>
      </c>
      <c r="C31" s="8" t="s">
        <v>148</v>
      </c>
      <c r="D31" s="9" t="s">
        <v>18</v>
      </c>
      <c r="E31" s="7">
        <v>7.0</v>
      </c>
      <c r="F31" s="8" t="s">
        <v>152</v>
      </c>
      <c r="G31" s="9" t="s">
        <v>57</v>
      </c>
      <c r="H31" s="9" t="s">
        <v>21</v>
      </c>
      <c r="I31" s="9" t="s">
        <v>25</v>
      </c>
      <c r="J31" s="10" t="str">
        <f>IFERROR(VLOOKUP(A31, Sheet1!$O$1:$V$156, 6, FALSE), "")</f>
        <v> </v>
      </c>
      <c r="K31" s="10" t="str">
        <f>IFERROR(VLOOKUP(A31, Sheet1!$O$1:$V$156, 7, FALSE), "")
</f>
        <v>Y</v>
      </c>
      <c r="O31" s="11">
        <v>44488.0</v>
      </c>
      <c r="P31" s="12" t="s">
        <v>153</v>
      </c>
      <c r="Q31" s="12" t="s">
        <v>154</v>
      </c>
      <c r="R31" s="12" t="s">
        <v>25</v>
      </c>
      <c r="T31" s="13" t="str">
        <f t="shared" si="1"/>
        <v> </v>
      </c>
      <c r="U31" s="12" t="str">
        <f t="shared" si="2"/>
        <v>Y</v>
      </c>
      <c r="V31" s="12" t="s">
        <v>39</v>
      </c>
    </row>
    <row r="32" ht="12.75" customHeight="1">
      <c r="A32" s="7">
        <v>47059.0</v>
      </c>
      <c r="B32" s="8" t="s">
        <v>147</v>
      </c>
      <c r="C32" s="8" t="s">
        <v>148</v>
      </c>
      <c r="D32" s="9" t="s">
        <v>18</v>
      </c>
      <c r="E32" s="7">
        <v>7.0</v>
      </c>
      <c r="F32" s="8" t="s">
        <v>152</v>
      </c>
      <c r="G32" s="9" t="s">
        <v>57</v>
      </c>
      <c r="H32" s="9" t="s">
        <v>21</v>
      </c>
      <c r="I32" s="9" t="s">
        <v>25</v>
      </c>
      <c r="J32" s="10" t="str">
        <f>IFERROR(VLOOKUP(A32, Sheet1!$O$1:$V$156, 6, FALSE), "")</f>
        <v> </v>
      </c>
      <c r="K32" s="10" t="str">
        <f>IFERROR(VLOOKUP(A32, Sheet1!$O$1:$V$156, 7, FALSE), "")
</f>
        <v>Y</v>
      </c>
      <c r="O32" s="11">
        <v>45141.0</v>
      </c>
      <c r="P32" s="12" t="s">
        <v>155</v>
      </c>
      <c r="Q32" s="12" t="s">
        <v>156</v>
      </c>
      <c r="R32" s="12" t="s">
        <v>25</v>
      </c>
      <c r="T32" s="13" t="str">
        <f t="shared" si="1"/>
        <v> </v>
      </c>
      <c r="U32" s="12" t="str">
        <f t="shared" si="2"/>
        <v>Y</v>
      </c>
      <c r="V32" s="12" t="s">
        <v>39</v>
      </c>
    </row>
    <row r="33" ht="12.75" customHeight="1">
      <c r="A33" s="7">
        <v>45386.0</v>
      </c>
      <c r="B33" s="8" t="s">
        <v>157</v>
      </c>
      <c r="C33" s="8" t="s">
        <v>158</v>
      </c>
      <c r="D33" s="9" t="s">
        <v>18</v>
      </c>
      <c r="E33" s="7">
        <v>6.0</v>
      </c>
      <c r="F33" s="8" t="s">
        <v>112</v>
      </c>
      <c r="G33" s="9" t="s">
        <v>34</v>
      </c>
      <c r="H33" s="9" t="s">
        <v>35</v>
      </c>
      <c r="I33" s="9" t="s">
        <v>22</v>
      </c>
      <c r="J33" s="10" t="str">
        <f>IFERROR(VLOOKUP(A33, Sheet1!$O$1:$V$156, 6, FALSE), "")</f>
        <v/>
      </c>
      <c r="K33" s="10" t="str">
        <f>IFERROR(VLOOKUP(A33, Sheet1!$O$1:$V$156, 7, FALSE), "")
</f>
        <v/>
      </c>
      <c r="O33" s="11">
        <v>44834.0</v>
      </c>
      <c r="P33" s="12" t="s">
        <v>159</v>
      </c>
      <c r="Q33" s="12" t="s">
        <v>160</v>
      </c>
      <c r="R33" s="12" t="s">
        <v>25</v>
      </c>
      <c r="T33" s="13" t="str">
        <f t="shared" si="1"/>
        <v> </v>
      </c>
      <c r="U33" s="12" t="str">
        <f t="shared" si="2"/>
        <v>Y</v>
      </c>
      <c r="V33" s="12" t="s">
        <v>39</v>
      </c>
    </row>
    <row r="34" ht="12.75" customHeight="1">
      <c r="A34" s="7">
        <v>45386.0</v>
      </c>
      <c r="B34" s="8" t="s">
        <v>157</v>
      </c>
      <c r="C34" s="8" t="s">
        <v>158</v>
      </c>
      <c r="D34" s="9" t="s">
        <v>18</v>
      </c>
      <c r="E34" s="7">
        <v>6.0</v>
      </c>
      <c r="F34" s="8" t="s">
        <v>161</v>
      </c>
      <c r="G34" s="9" t="s">
        <v>162</v>
      </c>
      <c r="H34" s="9" t="s">
        <v>35</v>
      </c>
      <c r="I34" s="9" t="s">
        <v>22</v>
      </c>
      <c r="J34" s="10" t="str">
        <f>IFERROR(VLOOKUP(A34, Sheet1!$O$1:$V$156, 6, FALSE), "")</f>
        <v/>
      </c>
      <c r="K34" s="10" t="str">
        <f>IFERROR(VLOOKUP(A34, Sheet1!$O$1:$V$156, 7, FALSE), "")
</f>
        <v/>
      </c>
      <c r="O34" s="11">
        <v>44483.0</v>
      </c>
      <c r="P34" s="12" t="s">
        <v>163</v>
      </c>
      <c r="Q34" s="12" t="s">
        <v>164</v>
      </c>
      <c r="R34" s="12" t="s">
        <v>25</v>
      </c>
      <c r="T34" s="13" t="str">
        <f t="shared" si="1"/>
        <v> </v>
      </c>
      <c r="U34" s="12" t="str">
        <f t="shared" si="2"/>
        <v>Y</v>
      </c>
      <c r="V34" s="12" t="s">
        <v>39</v>
      </c>
    </row>
    <row r="35" ht="12.75" customHeight="1">
      <c r="A35" s="7">
        <v>45386.0</v>
      </c>
      <c r="B35" s="8" t="s">
        <v>157</v>
      </c>
      <c r="C35" s="8" t="s">
        <v>158</v>
      </c>
      <c r="D35" s="9" t="s">
        <v>18</v>
      </c>
      <c r="E35" s="7">
        <v>6.0</v>
      </c>
      <c r="F35" s="8" t="s">
        <v>107</v>
      </c>
      <c r="G35" s="9" t="s">
        <v>57</v>
      </c>
      <c r="H35" s="9" t="s">
        <v>35</v>
      </c>
      <c r="I35" s="9" t="s">
        <v>22</v>
      </c>
      <c r="J35" s="10" t="str">
        <f>IFERROR(VLOOKUP(A35, Sheet1!$O$1:$V$156, 6, FALSE), "")</f>
        <v/>
      </c>
      <c r="K35" s="10" t="str">
        <f>IFERROR(VLOOKUP(A35, Sheet1!$O$1:$V$156, 7, FALSE), "")
</f>
        <v/>
      </c>
      <c r="O35" s="11">
        <v>44835.0</v>
      </c>
      <c r="P35" s="12" t="s">
        <v>165</v>
      </c>
      <c r="Q35" s="12" t="s">
        <v>166</v>
      </c>
      <c r="R35" s="12" t="s">
        <v>25</v>
      </c>
      <c r="T35" s="13" t="str">
        <f t="shared" si="1"/>
        <v> </v>
      </c>
      <c r="U35" s="12" t="str">
        <f t="shared" si="2"/>
        <v>Y</v>
      </c>
      <c r="V35" s="12" t="s">
        <v>39</v>
      </c>
    </row>
    <row r="36" ht="12.75" customHeight="1">
      <c r="A36" s="7">
        <v>45386.0</v>
      </c>
      <c r="B36" s="8" t="s">
        <v>157</v>
      </c>
      <c r="C36" s="8" t="s">
        <v>158</v>
      </c>
      <c r="D36" s="9" t="s">
        <v>18</v>
      </c>
      <c r="E36" s="7">
        <v>6.0</v>
      </c>
      <c r="F36" s="8" t="s">
        <v>19</v>
      </c>
      <c r="G36" s="9" t="s">
        <v>92</v>
      </c>
      <c r="H36" s="9" t="s">
        <v>44</v>
      </c>
      <c r="I36" s="9" t="s">
        <v>22</v>
      </c>
      <c r="J36" s="10" t="str">
        <f>IFERROR(VLOOKUP(A36, Sheet1!$O$1:$V$156, 6, FALSE), "")</f>
        <v/>
      </c>
      <c r="K36" s="10" t="str">
        <f>IFERROR(VLOOKUP(A36, Sheet1!$O$1:$V$156, 7, FALSE), "")
</f>
        <v/>
      </c>
      <c r="O36" s="11">
        <v>45240.0</v>
      </c>
      <c r="P36" s="12" t="s">
        <v>23</v>
      </c>
      <c r="Q36" s="12" t="s">
        <v>167</v>
      </c>
      <c r="R36" s="12" t="s">
        <v>25</v>
      </c>
      <c r="T36" s="13" t="str">
        <f t="shared" si="1"/>
        <v> </v>
      </c>
      <c r="U36" s="12" t="str">
        <f t="shared" si="2"/>
        <v>Y</v>
      </c>
      <c r="V36" s="12" t="s">
        <v>39</v>
      </c>
    </row>
    <row r="37" ht="12.75" customHeight="1">
      <c r="A37" s="7">
        <v>45386.0</v>
      </c>
      <c r="B37" s="8" t="s">
        <v>157</v>
      </c>
      <c r="C37" s="8" t="s">
        <v>158</v>
      </c>
      <c r="D37" s="9" t="s">
        <v>18</v>
      </c>
      <c r="E37" s="7">
        <v>6.0</v>
      </c>
      <c r="F37" s="8" t="s">
        <v>27</v>
      </c>
      <c r="G37" s="9" t="s">
        <v>28</v>
      </c>
      <c r="H37" s="9" t="s">
        <v>21</v>
      </c>
      <c r="I37" s="9" t="s">
        <v>22</v>
      </c>
      <c r="J37" s="10" t="str">
        <f>IFERROR(VLOOKUP(A37, Sheet1!$O$1:$V$156, 6, FALSE), "")</f>
        <v/>
      </c>
      <c r="K37" s="10" t="str">
        <f>IFERROR(VLOOKUP(A37, Sheet1!$O$1:$V$156, 7, FALSE), "")
</f>
        <v/>
      </c>
      <c r="O37" s="11">
        <v>44757.0</v>
      </c>
      <c r="P37" s="12" t="s">
        <v>168</v>
      </c>
      <c r="Q37" s="12" t="s">
        <v>169</v>
      </c>
      <c r="R37" s="12" t="s">
        <v>129</v>
      </c>
      <c r="T37" s="13" t="str">
        <f t="shared" si="1"/>
        <v> </v>
      </c>
      <c r="U37" s="12" t="str">
        <f t="shared" si="2"/>
        <v>Y</v>
      </c>
      <c r="V37" s="12" t="s">
        <v>39</v>
      </c>
    </row>
    <row r="38" ht="12.75" customHeight="1">
      <c r="A38" s="7">
        <v>45386.0</v>
      </c>
      <c r="B38" s="8" t="s">
        <v>157</v>
      </c>
      <c r="C38" s="8" t="s">
        <v>158</v>
      </c>
      <c r="D38" s="9" t="s">
        <v>18</v>
      </c>
      <c r="E38" s="7">
        <v>6.0</v>
      </c>
      <c r="F38" s="8" t="s">
        <v>85</v>
      </c>
      <c r="G38" s="9" t="s">
        <v>57</v>
      </c>
      <c r="H38" s="9" t="s">
        <v>35</v>
      </c>
      <c r="I38" s="9" t="s">
        <v>22</v>
      </c>
      <c r="J38" s="10" t="str">
        <f>IFERROR(VLOOKUP(A38, Sheet1!$O$1:$V$156, 6, FALSE), "")</f>
        <v/>
      </c>
      <c r="K38" s="10" t="str">
        <f>IFERROR(VLOOKUP(A38, Sheet1!$O$1:$V$156, 7, FALSE), "")
</f>
        <v/>
      </c>
      <c r="O38" s="11">
        <v>44302.0</v>
      </c>
      <c r="P38" s="12" t="s">
        <v>170</v>
      </c>
      <c r="Q38" s="12" t="s">
        <v>171</v>
      </c>
      <c r="R38" s="12" t="s">
        <v>25</v>
      </c>
      <c r="T38" s="13" t="str">
        <f t="shared" si="1"/>
        <v> </v>
      </c>
      <c r="U38" s="12" t="str">
        <f t="shared" si="2"/>
        <v>Y</v>
      </c>
      <c r="V38" s="12" t="s">
        <v>39</v>
      </c>
    </row>
    <row r="39" ht="12.75" customHeight="1">
      <c r="A39" s="7">
        <v>45271.0</v>
      </c>
      <c r="B39" s="8" t="s">
        <v>172</v>
      </c>
      <c r="C39" s="8" t="s">
        <v>173</v>
      </c>
      <c r="D39" s="9" t="s">
        <v>28</v>
      </c>
      <c r="E39" s="7">
        <v>6.0</v>
      </c>
      <c r="F39" s="8" t="s">
        <v>174</v>
      </c>
      <c r="G39" s="9" t="s">
        <v>118</v>
      </c>
      <c r="H39" s="9" t="s">
        <v>35</v>
      </c>
      <c r="I39" s="9" t="s">
        <v>25</v>
      </c>
      <c r="J39" s="10" t="str">
        <f>IFERROR(VLOOKUP(A39, Sheet1!$O$1:$V$156, 6, FALSE), "")</f>
        <v/>
      </c>
      <c r="K39" s="10" t="str">
        <f>IFERROR(VLOOKUP(A39, Sheet1!$O$1:$V$156, 7, FALSE), "")
</f>
        <v/>
      </c>
      <c r="O39" s="11">
        <v>44892.0</v>
      </c>
      <c r="P39" s="12" t="s">
        <v>175</v>
      </c>
      <c r="Q39" s="12" t="s">
        <v>176</v>
      </c>
      <c r="R39" s="12" t="s">
        <v>25</v>
      </c>
      <c r="T39" s="13" t="str">
        <f t="shared" si="1"/>
        <v> </v>
      </c>
      <c r="U39" s="12" t="str">
        <f t="shared" si="2"/>
        <v>Y</v>
      </c>
      <c r="V39" s="12" t="s">
        <v>39</v>
      </c>
    </row>
    <row r="40" ht="12.75" customHeight="1">
      <c r="A40" s="7">
        <v>45271.0</v>
      </c>
      <c r="B40" s="8" t="s">
        <v>172</v>
      </c>
      <c r="C40" s="8" t="s">
        <v>173</v>
      </c>
      <c r="D40" s="9" t="s">
        <v>28</v>
      </c>
      <c r="E40" s="7">
        <v>6.0</v>
      </c>
      <c r="F40" s="8" t="s">
        <v>85</v>
      </c>
      <c r="G40" s="9" t="s">
        <v>28</v>
      </c>
      <c r="H40" s="9" t="s">
        <v>35</v>
      </c>
      <c r="I40" s="9" t="s">
        <v>25</v>
      </c>
      <c r="J40" s="10" t="str">
        <f>IFERROR(VLOOKUP(A40, Sheet1!$O$1:$V$156, 6, FALSE), "")</f>
        <v/>
      </c>
      <c r="K40" s="10" t="str">
        <f>IFERROR(VLOOKUP(A40, Sheet1!$O$1:$V$156, 7, FALSE), "")
</f>
        <v/>
      </c>
      <c r="O40" s="11">
        <v>44286.0</v>
      </c>
      <c r="P40" s="12" t="s">
        <v>177</v>
      </c>
      <c r="Q40" s="12" t="s">
        <v>178</v>
      </c>
      <c r="R40" s="12" t="s">
        <v>25</v>
      </c>
      <c r="T40" s="13" t="str">
        <f t="shared" si="1"/>
        <v> </v>
      </c>
      <c r="U40" s="12" t="str">
        <f t="shared" si="2"/>
        <v>Y</v>
      </c>
      <c r="V40" s="12" t="s">
        <v>39</v>
      </c>
    </row>
    <row r="41" ht="12.75" customHeight="1">
      <c r="A41" s="7">
        <v>45271.0</v>
      </c>
      <c r="B41" s="8" t="s">
        <v>172</v>
      </c>
      <c r="C41" s="8" t="s">
        <v>173</v>
      </c>
      <c r="D41" s="9" t="s">
        <v>28</v>
      </c>
      <c r="E41" s="7">
        <v>6.0</v>
      </c>
      <c r="F41" s="8" t="s">
        <v>27</v>
      </c>
      <c r="G41" s="9" t="s">
        <v>28</v>
      </c>
      <c r="H41" s="9" t="s">
        <v>21</v>
      </c>
      <c r="I41" s="9" t="s">
        <v>25</v>
      </c>
      <c r="J41" s="10" t="str">
        <f>IFERROR(VLOOKUP(A41, Sheet1!$O$1:$V$156, 6, FALSE), "")</f>
        <v/>
      </c>
      <c r="K41" s="10" t="str">
        <f>IFERROR(VLOOKUP(A41, Sheet1!$O$1:$V$156, 7, FALSE), "")
</f>
        <v/>
      </c>
      <c r="O41" s="11">
        <v>45459.0</v>
      </c>
      <c r="P41" s="12" t="s">
        <v>179</v>
      </c>
      <c r="Q41" s="12" t="s">
        <v>180</v>
      </c>
      <c r="R41" s="12" t="s">
        <v>28</v>
      </c>
      <c r="T41" s="13" t="str">
        <f t="shared" si="1"/>
        <v> </v>
      </c>
      <c r="U41" s="12" t="str">
        <f t="shared" si="2"/>
        <v>Y</v>
      </c>
      <c r="V41" s="12" t="s">
        <v>39</v>
      </c>
    </row>
    <row r="42" ht="12.75" customHeight="1">
      <c r="A42" s="7">
        <v>45271.0</v>
      </c>
      <c r="B42" s="8" t="s">
        <v>172</v>
      </c>
      <c r="C42" s="8" t="s">
        <v>173</v>
      </c>
      <c r="D42" s="9" t="s">
        <v>28</v>
      </c>
      <c r="E42" s="7">
        <v>6.0</v>
      </c>
      <c r="F42" s="8" t="s">
        <v>19</v>
      </c>
      <c r="G42" s="9" t="s">
        <v>57</v>
      </c>
      <c r="H42" s="9" t="s">
        <v>35</v>
      </c>
      <c r="I42" s="9" t="s">
        <v>25</v>
      </c>
      <c r="J42" s="10" t="str">
        <f>IFERROR(VLOOKUP(A42, Sheet1!$O$1:$V$156, 6, FALSE), "")</f>
        <v/>
      </c>
      <c r="K42" s="10" t="str">
        <f>IFERROR(VLOOKUP(A42, Sheet1!$O$1:$V$156, 7, FALSE), "")
</f>
        <v/>
      </c>
      <c r="O42" s="11">
        <v>44323.0</v>
      </c>
      <c r="P42" s="12" t="s">
        <v>181</v>
      </c>
      <c r="Q42" s="12" t="s">
        <v>182</v>
      </c>
      <c r="R42" s="12" t="s">
        <v>25</v>
      </c>
      <c r="T42" s="13" t="str">
        <f t="shared" si="1"/>
        <v> </v>
      </c>
      <c r="U42" s="12" t="str">
        <f t="shared" si="2"/>
        <v>Y</v>
      </c>
      <c r="V42" s="12" t="s">
        <v>39</v>
      </c>
    </row>
    <row r="43" ht="12.75" customHeight="1">
      <c r="A43" s="7">
        <v>45271.0</v>
      </c>
      <c r="B43" s="8" t="s">
        <v>172</v>
      </c>
      <c r="C43" s="8" t="s">
        <v>173</v>
      </c>
      <c r="D43" s="9" t="s">
        <v>28</v>
      </c>
      <c r="E43" s="7">
        <v>6.0</v>
      </c>
      <c r="F43" s="8" t="s">
        <v>107</v>
      </c>
      <c r="G43" s="9" t="s">
        <v>28</v>
      </c>
      <c r="H43" s="9" t="s">
        <v>21</v>
      </c>
      <c r="I43" s="9" t="s">
        <v>25</v>
      </c>
      <c r="J43" s="10" t="str">
        <f>IFERROR(VLOOKUP(A43, Sheet1!$O$1:$V$156, 6, FALSE), "")</f>
        <v/>
      </c>
      <c r="K43" s="10" t="str">
        <f>IFERROR(VLOOKUP(A43, Sheet1!$O$1:$V$156, 7, FALSE), "")
</f>
        <v/>
      </c>
      <c r="O43" s="11">
        <v>44843.0</v>
      </c>
      <c r="P43" s="12" t="s">
        <v>183</v>
      </c>
      <c r="Q43" s="12" t="s">
        <v>184</v>
      </c>
      <c r="R43" s="12" t="s">
        <v>25</v>
      </c>
      <c r="T43" s="13" t="str">
        <f t="shared" si="1"/>
        <v> </v>
      </c>
      <c r="U43" s="12" t="str">
        <f t="shared" si="2"/>
        <v>Y</v>
      </c>
      <c r="V43" s="12" t="s">
        <v>39</v>
      </c>
    </row>
    <row r="44" ht="12.75" customHeight="1">
      <c r="A44" s="7">
        <v>45271.0</v>
      </c>
      <c r="B44" s="8" t="s">
        <v>172</v>
      </c>
      <c r="C44" s="8" t="s">
        <v>173</v>
      </c>
      <c r="D44" s="9" t="s">
        <v>28</v>
      </c>
      <c r="E44" s="7">
        <v>6.0</v>
      </c>
      <c r="F44" s="8" t="s">
        <v>185</v>
      </c>
      <c r="G44" s="9" t="s">
        <v>186</v>
      </c>
      <c r="H44" s="9" t="s">
        <v>35</v>
      </c>
      <c r="I44" s="9" t="s">
        <v>25</v>
      </c>
      <c r="J44" s="10" t="str">
        <f>IFERROR(VLOOKUP(A44, Sheet1!$O$1:$V$156, 6, FALSE), "")</f>
        <v/>
      </c>
      <c r="K44" s="10" t="str">
        <f>IFERROR(VLOOKUP(A44, Sheet1!$O$1:$V$156, 7, FALSE), "")
</f>
        <v/>
      </c>
      <c r="O44" s="11">
        <v>44738.0</v>
      </c>
      <c r="P44" s="12" t="s">
        <v>187</v>
      </c>
      <c r="Q44" s="12" t="s">
        <v>188</v>
      </c>
      <c r="R44" s="12" t="s">
        <v>25</v>
      </c>
      <c r="T44" s="13" t="str">
        <f t="shared" si="1"/>
        <v> </v>
      </c>
      <c r="U44" s="12" t="str">
        <f t="shared" si="2"/>
        <v>Y</v>
      </c>
      <c r="V44" s="12" t="s">
        <v>39</v>
      </c>
    </row>
    <row r="45" ht="12.75" customHeight="1">
      <c r="A45" s="7">
        <v>46097.0</v>
      </c>
      <c r="B45" s="8" t="s">
        <v>189</v>
      </c>
      <c r="C45" s="8" t="s">
        <v>190</v>
      </c>
      <c r="D45" s="9" t="s">
        <v>18</v>
      </c>
      <c r="E45" s="7">
        <v>6.0</v>
      </c>
      <c r="F45" s="8" t="s">
        <v>85</v>
      </c>
      <c r="G45" s="9" t="s">
        <v>191</v>
      </c>
      <c r="H45" s="9" t="s">
        <v>35</v>
      </c>
      <c r="I45" s="9" t="s">
        <v>25</v>
      </c>
      <c r="J45" s="10" t="str">
        <f>IFERROR(VLOOKUP(A45, Sheet1!$O$1:$V$156, 6, FALSE), "")</f>
        <v/>
      </c>
      <c r="K45" s="10" t="str">
        <f>IFERROR(VLOOKUP(A45, Sheet1!$O$1:$V$156, 7, FALSE), "")
</f>
        <v/>
      </c>
      <c r="O45" s="11">
        <v>45276.0</v>
      </c>
      <c r="P45" s="12" t="s">
        <v>114</v>
      </c>
      <c r="Q45" s="12" t="s">
        <v>192</v>
      </c>
      <c r="R45" s="12" t="s">
        <v>25</v>
      </c>
      <c r="T45" s="13" t="str">
        <f t="shared" si="1"/>
        <v> </v>
      </c>
      <c r="U45" s="12" t="str">
        <f t="shared" si="2"/>
        <v>Y</v>
      </c>
      <c r="V45" s="12" t="s">
        <v>39</v>
      </c>
    </row>
    <row r="46" ht="12.75" customHeight="1">
      <c r="A46" s="7">
        <v>45170.0</v>
      </c>
      <c r="B46" s="8" t="s">
        <v>193</v>
      </c>
      <c r="C46" s="8" t="s">
        <v>194</v>
      </c>
      <c r="D46" s="9" t="s">
        <v>18</v>
      </c>
      <c r="E46" s="7">
        <v>6.0</v>
      </c>
      <c r="F46" s="8" t="s">
        <v>174</v>
      </c>
      <c r="G46" s="9" t="s">
        <v>118</v>
      </c>
      <c r="H46" s="9" t="s">
        <v>35</v>
      </c>
      <c r="I46" s="9" t="s">
        <v>25</v>
      </c>
      <c r="J46" s="10" t="str">
        <f>IFERROR(VLOOKUP(A46, Sheet1!$O$1:$V$156, 6, FALSE), "")</f>
        <v/>
      </c>
      <c r="K46" s="10" t="str">
        <f>IFERROR(VLOOKUP(A46, Sheet1!$O$1:$V$156, 7, FALSE), "")
</f>
        <v/>
      </c>
      <c r="O46" s="11">
        <v>44370.0</v>
      </c>
      <c r="P46" s="12" t="s">
        <v>195</v>
      </c>
      <c r="Q46" s="12" t="s">
        <v>196</v>
      </c>
      <c r="R46" s="12" t="s">
        <v>25</v>
      </c>
      <c r="T46" s="13" t="str">
        <f t="shared" si="1"/>
        <v> </v>
      </c>
      <c r="U46" s="12" t="str">
        <f t="shared" si="2"/>
        <v>Y</v>
      </c>
      <c r="V46" s="12" t="s">
        <v>39</v>
      </c>
    </row>
    <row r="47" ht="12.75" customHeight="1">
      <c r="A47" s="7">
        <v>45170.0</v>
      </c>
      <c r="B47" s="8" t="s">
        <v>193</v>
      </c>
      <c r="C47" s="8" t="s">
        <v>194</v>
      </c>
      <c r="D47" s="9" t="s">
        <v>18</v>
      </c>
      <c r="E47" s="7">
        <v>6.0</v>
      </c>
      <c r="F47" s="8" t="s">
        <v>85</v>
      </c>
      <c r="G47" s="9" t="s">
        <v>118</v>
      </c>
      <c r="H47" s="9" t="s">
        <v>35</v>
      </c>
      <c r="I47" s="9" t="s">
        <v>25</v>
      </c>
      <c r="J47" s="10" t="str">
        <f>IFERROR(VLOOKUP(A47, Sheet1!$O$1:$V$156, 6, FALSE), "")</f>
        <v/>
      </c>
      <c r="K47" s="10" t="str">
        <f>IFERROR(VLOOKUP(A47, Sheet1!$O$1:$V$156, 7, FALSE), "")
</f>
        <v/>
      </c>
      <c r="O47" s="11">
        <v>44703.0</v>
      </c>
      <c r="P47" s="12" t="s">
        <v>197</v>
      </c>
      <c r="Q47" s="12" t="s">
        <v>198</v>
      </c>
      <c r="R47" s="12" t="s">
        <v>25</v>
      </c>
      <c r="T47" s="13" t="str">
        <f t="shared" si="1"/>
        <v> </v>
      </c>
      <c r="U47" s="12" t="str">
        <f t="shared" si="2"/>
        <v>Y</v>
      </c>
      <c r="V47" s="12" t="s">
        <v>39</v>
      </c>
    </row>
    <row r="48" ht="12.75" customHeight="1">
      <c r="A48" s="7">
        <v>45170.0</v>
      </c>
      <c r="B48" s="8" t="s">
        <v>193</v>
      </c>
      <c r="C48" s="8" t="s">
        <v>194</v>
      </c>
      <c r="D48" s="9" t="s">
        <v>18</v>
      </c>
      <c r="E48" s="7">
        <v>6.0</v>
      </c>
      <c r="F48" s="8" t="s">
        <v>19</v>
      </c>
      <c r="G48" s="9" t="s">
        <v>86</v>
      </c>
      <c r="H48" s="9" t="s">
        <v>35</v>
      </c>
      <c r="I48" s="9" t="s">
        <v>25</v>
      </c>
      <c r="J48" s="10" t="str">
        <f>IFERROR(VLOOKUP(A48, Sheet1!$O$1:$V$156, 6, FALSE), "")</f>
        <v/>
      </c>
      <c r="K48" s="10" t="str">
        <f>IFERROR(VLOOKUP(A48, Sheet1!$O$1:$V$156, 7, FALSE), "")
</f>
        <v/>
      </c>
      <c r="O48" s="11">
        <v>45435.0</v>
      </c>
      <c r="P48" s="12" t="s">
        <v>199</v>
      </c>
      <c r="Q48" s="12" t="s">
        <v>200</v>
      </c>
      <c r="R48" s="12" t="s">
        <v>129</v>
      </c>
      <c r="T48" s="13" t="str">
        <f t="shared" si="1"/>
        <v> </v>
      </c>
      <c r="U48" s="12" t="str">
        <f t="shared" si="2"/>
        <v>Y</v>
      </c>
      <c r="V48" s="12" t="s">
        <v>39</v>
      </c>
    </row>
    <row r="49" ht="12.75" customHeight="1">
      <c r="A49" s="7">
        <v>45170.0</v>
      </c>
      <c r="B49" s="8" t="s">
        <v>193</v>
      </c>
      <c r="C49" s="8" t="s">
        <v>194</v>
      </c>
      <c r="D49" s="9" t="s">
        <v>18</v>
      </c>
      <c r="E49" s="7">
        <v>6.0</v>
      </c>
      <c r="F49" s="8" t="s">
        <v>27</v>
      </c>
      <c r="G49" s="9" t="s">
        <v>34</v>
      </c>
      <c r="H49" s="9" t="s">
        <v>35</v>
      </c>
      <c r="I49" s="9" t="s">
        <v>25</v>
      </c>
      <c r="J49" s="10" t="str">
        <f>IFERROR(VLOOKUP(A49, Sheet1!$O$1:$V$156, 6, FALSE), "")</f>
        <v/>
      </c>
      <c r="K49" s="10" t="str">
        <f>IFERROR(VLOOKUP(A49, Sheet1!$O$1:$V$156, 7, FALSE), "")
</f>
        <v/>
      </c>
      <c r="O49" s="11">
        <v>44299.0</v>
      </c>
      <c r="P49" s="12" t="s">
        <v>201</v>
      </c>
      <c r="Q49" s="12" t="s">
        <v>202</v>
      </c>
      <c r="R49" s="12" t="s">
        <v>25</v>
      </c>
      <c r="T49" s="13" t="str">
        <f t="shared" si="1"/>
        <v> </v>
      </c>
      <c r="U49" s="12" t="str">
        <f t="shared" si="2"/>
        <v>Y</v>
      </c>
      <c r="V49" s="12" t="s">
        <v>39</v>
      </c>
    </row>
    <row r="50" ht="12.75" customHeight="1">
      <c r="A50" s="7">
        <v>45170.0</v>
      </c>
      <c r="B50" s="8" t="s">
        <v>193</v>
      </c>
      <c r="C50" s="8" t="s">
        <v>194</v>
      </c>
      <c r="D50" s="9" t="s">
        <v>18</v>
      </c>
      <c r="E50" s="7">
        <v>6.0</v>
      </c>
      <c r="F50" s="8" t="s">
        <v>185</v>
      </c>
      <c r="G50" s="9" t="s">
        <v>186</v>
      </c>
      <c r="H50" s="9" t="s">
        <v>35</v>
      </c>
      <c r="I50" s="9" t="s">
        <v>25</v>
      </c>
      <c r="J50" s="10" t="str">
        <f>IFERROR(VLOOKUP(A50, Sheet1!$O$1:$V$156, 6, FALSE), "")</f>
        <v/>
      </c>
      <c r="K50" s="10" t="str">
        <f>IFERROR(VLOOKUP(A50, Sheet1!$O$1:$V$156, 7, FALSE), "")
</f>
        <v/>
      </c>
      <c r="O50" s="11">
        <v>44832.0</v>
      </c>
      <c r="P50" s="12" t="s">
        <v>203</v>
      </c>
      <c r="Q50" s="12" t="s">
        <v>204</v>
      </c>
      <c r="R50" s="12" t="s">
        <v>25</v>
      </c>
      <c r="T50" s="13" t="str">
        <f t="shared" si="1"/>
        <v> </v>
      </c>
      <c r="U50" s="12" t="str">
        <f t="shared" si="2"/>
        <v>Y</v>
      </c>
      <c r="V50" s="12" t="s">
        <v>39</v>
      </c>
    </row>
    <row r="51" ht="12.75" customHeight="1">
      <c r="A51" s="7">
        <v>45158.0</v>
      </c>
      <c r="B51" s="8" t="s">
        <v>205</v>
      </c>
      <c r="C51" s="8" t="s">
        <v>206</v>
      </c>
      <c r="D51" s="9" t="s">
        <v>18</v>
      </c>
      <c r="E51" s="7">
        <v>6.0</v>
      </c>
      <c r="F51" s="8" t="s">
        <v>207</v>
      </c>
      <c r="G51" s="9" t="s">
        <v>57</v>
      </c>
      <c r="H51" s="9" t="s">
        <v>21</v>
      </c>
      <c r="I51" s="9" t="s">
        <v>25</v>
      </c>
      <c r="J51" s="10" t="str">
        <f>IFERROR(VLOOKUP(A51, Sheet1!$O$1:$V$156, 6, FALSE), "")</f>
        <v/>
      </c>
      <c r="K51" s="10" t="str">
        <f>IFERROR(VLOOKUP(A51, Sheet1!$O$1:$V$156, 7, FALSE), "")
</f>
        <v/>
      </c>
      <c r="O51" s="11">
        <v>44987.0</v>
      </c>
      <c r="P51" s="12" t="s">
        <v>143</v>
      </c>
      <c r="Q51" s="12" t="s">
        <v>208</v>
      </c>
      <c r="R51" s="12" t="s">
        <v>22</v>
      </c>
      <c r="T51" s="13" t="str">
        <f t="shared" si="1"/>
        <v> </v>
      </c>
      <c r="U51" s="12" t="str">
        <f t="shared" si="2"/>
        <v>Y</v>
      </c>
      <c r="V51" s="12" t="s">
        <v>39</v>
      </c>
    </row>
    <row r="52" ht="12.75" customHeight="1">
      <c r="A52" s="7">
        <v>46015.0</v>
      </c>
      <c r="B52" s="8" t="s">
        <v>205</v>
      </c>
      <c r="C52" s="8" t="s">
        <v>209</v>
      </c>
      <c r="D52" s="9" t="s">
        <v>18</v>
      </c>
      <c r="E52" s="7">
        <v>6.0</v>
      </c>
      <c r="F52" s="8" t="s">
        <v>207</v>
      </c>
      <c r="G52" s="9" t="s">
        <v>57</v>
      </c>
      <c r="H52" s="9" t="s">
        <v>21</v>
      </c>
      <c r="I52" s="9" t="s">
        <v>25</v>
      </c>
      <c r="J52" s="10" t="str">
        <f>IFERROR(VLOOKUP(A52, Sheet1!$O$1:$V$156, 6, FALSE), "")</f>
        <v> </v>
      </c>
      <c r="K52" s="10" t="str">
        <f>IFERROR(VLOOKUP(A52, Sheet1!$O$1:$V$156, 7, FALSE), "")
</f>
        <v>Y</v>
      </c>
      <c r="O52" s="11">
        <v>44237.0</v>
      </c>
      <c r="P52" s="12" t="s">
        <v>210</v>
      </c>
      <c r="Q52" s="12" t="s">
        <v>211</v>
      </c>
      <c r="R52" s="12" t="s">
        <v>22</v>
      </c>
      <c r="T52" s="13" t="str">
        <f t="shared" si="1"/>
        <v> </v>
      </c>
      <c r="U52" s="12" t="str">
        <f t="shared" si="2"/>
        <v>Y</v>
      </c>
      <c r="V52" s="12" t="s">
        <v>39</v>
      </c>
    </row>
    <row r="53" ht="12.75" customHeight="1">
      <c r="A53" s="7">
        <v>47163.0</v>
      </c>
      <c r="B53" s="8" t="s">
        <v>212</v>
      </c>
      <c r="C53" s="8" t="s">
        <v>213</v>
      </c>
      <c r="D53" s="9" t="s">
        <v>18</v>
      </c>
      <c r="E53" s="7">
        <v>8.0</v>
      </c>
      <c r="F53" s="8" t="s">
        <v>128</v>
      </c>
      <c r="G53" s="9" t="s">
        <v>86</v>
      </c>
      <c r="H53" s="9" t="s">
        <v>35</v>
      </c>
      <c r="I53" s="9" t="s">
        <v>25</v>
      </c>
      <c r="J53" s="10" t="str">
        <f>IFERROR(VLOOKUP(A53, Sheet1!$O$1:$V$156, 6, FALSE), "")</f>
        <v/>
      </c>
      <c r="K53" s="10" t="str">
        <f>IFERROR(VLOOKUP(A53, Sheet1!$O$1:$V$156, 7, FALSE), "")
</f>
        <v/>
      </c>
      <c r="O53" s="11">
        <v>45135.0</v>
      </c>
      <c r="P53" s="12" t="s">
        <v>214</v>
      </c>
      <c r="Q53" s="12" t="s">
        <v>215</v>
      </c>
      <c r="R53" s="12" t="s">
        <v>25</v>
      </c>
      <c r="T53" s="13" t="str">
        <f t="shared" si="1"/>
        <v> </v>
      </c>
      <c r="U53" s="12" t="str">
        <f t="shared" si="2"/>
        <v>Y</v>
      </c>
      <c r="V53" s="12" t="s">
        <v>39</v>
      </c>
    </row>
    <row r="54" ht="12.75" customHeight="1">
      <c r="A54" s="7">
        <v>44341.0</v>
      </c>
      <c r="B54" s="8" t="s">
        <v>216</v>
      </c>
      <c r="C54" s="8" t="s">
        <v>217</v>
      </c>
      <c r="D54" s="9" t="s">
        <v>18</v>
      </c>
      <c r="E54" s="7">
        <v>8.0</v>
      </c>
      <c r="F54" s="8" t="s">
        <v>61</v>
      </c>
      <c r="G54" s="9" t="s">
        <v>28</v>
      </c>
      <c r="H54" s="9" t="s">
        <v>35</v>
      </c>
      <c r="I54" s="9" t="s">
        <v>25</v>
      </c>
      <c r="J54" s="10" t="str">
        <f>IFERROR(VLOOKUP(A54, Sheet1!$O$1:$V$156, 6, FALSE), "")</f>
        <v/>
      </c>
      <c r="K54" s="10" t="str">
        <f>IFERROR(VLOOKUP(A54, Sheet1!$O$1:$V$156, 7, FALSE), "")
</f>
        <v/>
      </c>
      <c r="O54" s="11">
        <v>44384.0</v>
      </c>
      <c r="P54" s="12" t="s">
        <v>218</v>
      </c>
      <c r="Q54" s="12" t="s">
        <v>219</v>
      </c>
      <c r="R54" s="12" t="s">
        <v>25</v>
      </c>
      <c r="T54" s="13" t="str">
        <f t="shared" si="1"/>
        <v> </v>
      </c>
      <c r="U54" s="12" t="str">
        <f t="shared" si="2"/>
        <v>Y</v>
      </c>
      <c r="V54" s="12" t="s">
        <v>39</v>
      </c>
    </row>
    <row r="55" ht="12.75" customHeight="1">
      <c r="A55" s="7">
        <v>44791.0</v>
      </c>
      <c r="B55" s="8" t="s">
        <v>220</v>
      </c>
      <c r="C55" s="8" t="s">
        <v>221</v>
      </c>
      <c r="D55" s="9" t="s">
        <v>18</v>
      </c>
      <c r="E55" s="7">
        <v>7.0</v>
      </c>
      <c r="F55" s="8" t="s">
        <v>222</v>
      </c>
      <c r="G55" s="9" t="s">
        <v>57</v>
      </c>
      <c r="H55" s="9" t="s">
        <v>21</v>
      </c>
      <c r="I55" s="9" t="s">
        <v>25</v>
      </c>
      <c r="J55" s="10" t="str">
        <f>IFERROR(VLOOKUP(A55, Sheet1!$O$1:$V$156, 6, FALSE), "")</f>
        <v/>
      </c>
      <c r="K55" s="10" t="str">
        <f>IFERROR(VLOOKUP(A55, Sheet1!$O$1:$V$156, 7, FALSE), "")
</f>
        <v/>
      </c>
      <c r="O55" s="11">
        <v>44283.0</v>
      </c>
      <c r="P55" s="12" t="s">
        <v>223</v>
      </c>
      <c r="Q55" s="12" t="s">
        <v>224</v>
      </c>
      <c r="R55" s="12" t="s">
        <v>25</v>
      </c>
      <c r="T55" s="13" t="str">
        <f t="shared" si="1"/>
        <v> </v>
      </c>
      <c r="U55" s="12" t="str">
        <f t="shared" si="2"/>
        <v>Y</v>
      </c>
      <c r="V55" s="12" t="s">
        <v>39</v>
      </c>
    </row>
    <row r="56" ht="12.75" customHeight="1">
      <c r="A56" s="7">
        <v>44791.0</v>
      </c>
      <c r="B56" s="8" t="s">
        <v>220</v>
      </c>
      <c r="C56" s="8" t="s">
        <v>221</v>
      </c>
      <c r="D56" s="9" t="s">
        <v>18</v>
      </c>
      <c r="E56" s="7">
        <v>7.0</v>
      </c>
      <c r="F56" s="8" t="s">
        <v>144</v>
      </c>
      <c r="G56" s="9" t="s">
        <v>20</v>
      </c>
      <c r="H56" s="9" t="s">
        <v>35</v>
      </c>
      <c r="I56" s="9" t="s">
        <v>25</v>
      </c>
      <c r="J56" s="10" t="str">
        <f>IFERROR(VLOOKUP(A56, Sheet1!$O$1:$V$156, 6, FALSE), "")</f>
        <v/>
      </c>
      <c r="K56" s="10" t="str">
        <f>IFERROR(VLOOKUP(A56, Sheet1!$O$1:$V$156, 7, FALSE), "")
</f>
        <v/>
      </c>
      <c r="O56" s="11">
        <v>44429.0</v>
      </c>
      <c r="P56" s="12" t="s">
        <v>225</v>
      </c>
      <c r="Q56" s="12" t="s">
        <v>226</v>
      </c>
      <c r="R56" s="12" t="s">
        <v>25</v>
      </c>
      <c r="T56" s="13" t="str">
        <f t="shared" si="1"/>
        <v> </v>
      </c>
      <c r="U56" s="12" t="str">
        <f t="shared" si="2"/>
        <v>Y</v>
      </c>
      <c r="V56" s="12" t="s">
        <v>39</v>
      </c>
    </row>
    <row r="57" ht="12.75" customHeight="1">
      <c r="A57" s="7">
        <v>44791.0</v>
      </c>
      <c r="B57" s="8" t="s">
        <v>220</v>
      </c>
      <c r="C57" s="8" t="s">
        <v>221</v>
      </c>
      <c r="D57" s="9" t="s">
        <v>18</v>
      </c>
      <c r="E57" s="7">
        <v>7.0</v>
      </c>
      <c r="F57" s="8" t="s">
        <v>95</v>
      </c>
      <c r="G57" s="9" t="s">
        <v>20</v>
      </c>
      <c r="H57" s="9" t="s">
        <v>21</v>
      </c>
      <c r="I57" s="9" t="s">
        <v>25</v>
      </c>
      <c r="J57" s="10" t="str">
        <f>IFERROR(VLOOKUP(A57, Sheet1!$O$1:$V$156, 6, FALSE), "")</f>
        <v/>
      </c>
      <c r="K57" s="10" t="str">
        <f>IFERROR(VLOOKUP(A57, Sheet1!$O$1:$V$156, 7, FALSE), "")
</f>
        <v/>
      </c>
      <c r="O57" s="11">
        <v>45215.0</v>
      </c>
      <c r="P57" s="12" t="s">
        <v>227</v>
      </c>
      <c r="Q57" s="12" t="s">
        <v>228</v>
      </c>
      <c r="R57" s="12" t="s">
        <v>28</v>
      </c>
      <c r="T57" s="13" t="str">
        <f t="shared" si="1"/>
        <v> </v>
      </c>
      <c r="U57" s="12" t="str">
        <f t="shared" si="2"/>
        <v>Y</v>
      </c>
      <c r="V57" s="12" t="s">
        <v>39</v>
      </c>
    </row>
    <row r="58" ht="12.75" customHeight="1">
      <c r="A58" s="7">
        <v>44847.0</v>
      </c>
      <c r="B58" s="8" t="s">
        <v>229</v>
      </c>
      <c r="C58" s="8" t="s">
        <v>230</v>
      </c>
      <c r="D58" s="9" t="s">
        <v>18</v>
      </c>
      <c r="E58" s="7">
        <v>6.0</v>
      </c>
      <c r="F58" s="8" t="s">
        <v>207</v>
      </c>
      <c r="G58" s="9" t="s">
        <v>20</v>
      </c>
      <c r="H58" s="9" t="s">
        <v>21</v>
      </c>
      <c r="I58" s="9" t="s">
        <v>22</v>
      </c>
      <c r="J58" s="10" t="str">
        <f>IFERROR(VLOOKUP(A58, Sheet1!$O$1:$V$156, 6, FALSE), "")</f>
        <v/>
      </c>
      <c r="K58" s="10" t="str">
        <f>IFERROR(VLOOKUP(A58, Sheet1!$O$1:$V$156, 7, FALSE), "")
</f>
        <v/>
      </c>
      <c r="O58" s="11">
        <v>45207.0</v>
      </c>
      <c r="P58" s="12" t="s">
        <v>165</v>
      </c>
      <c r="Q58" s="12" t="s">
        <v>231</v>
      </c>
      <c r="R58" s="12" t="s">
        <v>25</v>
      </c>
      <c r="T58" s="13" t="str">
        <f t="shared" si="1"/>
        <v> </v>
      </c>
      <c r="U58" s="12" t="str">
        <f t="shared" si="2"/>
        <v>Y</v>
      </c>
      <c r="V58" s="12" t="s">
        <v>39</v>
      </c>
    </row>
    <row r="59" ht="12.75" customHeight="1">
      <c r="A59" s="7">
        <v>44863.0</v>
      </c>
      <c r="B59" s="8" t="s">
        <v>232</v>
      </c>
      <c r="C59" s="8" t="s">
        <v>233</v>
      </c>
      <c r="D59" s="9" t="s">
        <v>18</v>
      </c>
      <c r="E59" s="7">
        <v>7.0</v>
      </c>
      <c r="F59" s="8" t="s">
        <v>95</v>
      </c>
      <c r="G59" s="9" t="s">
        <v>28</v>
      </c>
      <c r="H59" s="9" t="s">
        <v>21</v>
      </c>
      <c r="I59" s="9" t="s">
        <v>22</v>
      </c>
      <c r="J59" s="10" t="str">
        <f>IFERROR(VLOOKUP(A59, Sheet1!$O$1:$V$156, 6, FALSE), "")</f>
        <v> </v>
      </c>
      <c r="K59" s="10" t="str">
        <f>IFERROR(VLOOKUP(A59, Sheet1!$O$1:$V$156, 7, FALSE), "")
</f>
        <v>Y</v>
      </c>
      <c r="O59" s="11">
        <v>45194.0</v>
      </c>
      <c r="P59" s="12" t="s">
        <v>234</v>
      </c>
      <c r="Q59" s="12" t="s">
        <v>235</v>
      </c>
      <c r="R59" s="12" t="s">
        <v>25</v>
      </c>
      <c r="T59" s="13" t="str">
        <f t="shared" si="1"/>
        <v> </v>
      </c>
      <c r="U59" s="12" t="str">
        <f t="shared" si="2"/>
        <v>Y</v>
      </c>
      <c r="V59" s="12" t="s">
        <v>236</v>
      </c>
    </row>
    <row r="60" ht="12.75" customHeight="1">
      <c r="A60" s="7">
        <v>44863.0</v>
      </c>
      <c r="B60" s="8" t="s">
        <v>232</v>
      </c>
      <c r="C60" s="8" t="s">
        <v>233</v>
      </c>
      <c r="D60" s="9" t="s">
        <v>18</v>
      </c>
      <c r="E60" s="7">
        <v>7.0</v>
      </c>
      <c r="F60" s="8" t="s">
        <v>144</v>
      </c>
      <c r="G60" s="9" t="s">
        <v>28</v>
      </c>
      <c r="H60" s="9" t="s">
        <v>35</v>
      </c>
      <c r="I60" s="9" t="s">
        <v>22</v>
      </c>
      <c r="J60" s="10" t="str">
        <f>IFERROR(VLOOKUP(A60, Sheet1!$O$1:$V$156, 6, FALSE), "")</f>
        <v> </v>
      </c>
      <c r="K60" s="10" t="str">
        <f>IFERROR(VLOOKUP(A60, Sheet1!$O$1:$V$156, 7, FALSE), "")
</f>
        <v>Y</v>
      </c>
      <c r="O60" s="11">
        <v>46020.0</v>
      </c>
      <c r="P60" s="12" t="s">
        <v>237</v>
      </c>
      <c r="Q60" s="12" t="s">
        <v>238</v>
      </c>
      <c r="R60" s="12" t="s">
        <v>25</v>
      </c>
      <c r="S60" s="12" t="s">
        <v>239</v>
      </c>
      <c r="T60" s="13" t="str">
        <f t="shared" si="1"/>
        <v>Y</v>
      </c>
      <c r="U60" s="12" t="str">
        <f t="shared" si="2"/>
        <v>Y</v>
      </c>
      <c r="V60" s="12" t="s">
        <v>240</v>
      </c>
    </row>
    <row r="61" ht="12.75" customHeight="1">
      <c r="A61" s="7">
        <v>44863.0</v>
      </c>
      <c r="B61" s="8" t="s">
        <v>232</v>
      </c>
      <c r="C61" s="8" t="s">
        <v>233</v>
      </c>
      <c r="D61" s="9" t="s">
        <v>18</v>
      </c>
      <c r="E61" s="7">
        <v>7.0</v>
      </c>
      <c r="F61" s="8" t="s">
        <v>149</v>
      </c>
      <c r="G61" s="9" t="s">
        <v>92</v>
      </c>
      <c r="H61" s="9" t="s">
        <v>21</v>
      </c>
      <c r="I61" s="9" t="s">
        <v>22</v>
      </c>
      <c r="J61" s="10" t="str">
        <f>IFERROR(VLOOKUP(A61, Sheet1!$O$1:$V$156, 6, FALSE), "")</f>
        <v> </v>
      </c>
      <c r="K61" s="10" t="str">
        <f>IFERROR(VLOOKUP(A61, Sheet1!$O$1:$V$156, 7, FALSE), "")
</f>
        <v>Y</v>
      </c>
      <c r="O61" s="11">
        <v>44567.0</v>
      </c>
      <c r="P61" s="12" t="s">
        <v>181</v>
      </c>
      <c r="Q61" s="12" t="s">
        <v>241</v>
      </c>
      <c r="R61" s="12" t="s">
        <v>22</v>
      </c>
      <c r="S61" s="12" t="s">
        <v>242</v>
      </c>
      <c r="T61" s="13" t="str">
        <f t="shared" si="1"/>
        <v>Y</v>
      </c>
      <c r="U61" s="12" t="str">
        <f t="shared" si="2"/>
        <v>Y</v>
      </c>
      <c r="V61" s="12" t="s">
        <v>236</v>
      </c>
    </row>
    <row r="62" ht="12.75" customHeight="1">
      <c r="A62" s="7">
        <v>44863.0</v>
      </c>
      <c r="B62" s="8" t="s">
        <v>232</v>
      </c>
      <c r="C62" s="8" t="s">
        <v>233</v>
      </c>
      <c r="D62" s="9" t="s">
        <v>18</v>
      </c>
      <c r="E62" s="7">
        <v>7.0</v>
      </c>
      <c r="F62" s="8" t="s">
        <v>243</v>
      </c>
      <c r="G62" s="9" t="s">
        <v>28</v>
      </c>
      <c r="H62" s="9" t="s">
        <v>21</v>
      </c>
      <c r="I62" s="9" t="s">
        <v>22</v>
      </c>
      <c r="J62" s="10" t="str">
        <f>IFERROR(VLOOKUP(A62, Sheet1!$O$1:$V$156, 6, FALSE), "")</f>
        <v> </v>
      </c>
      <c r="K62" s="10" t="str">
        <f>IFERROR(VLOOKUP(A62, Sheet1!$O$1:$V$156, 7, FALSE), "")
</f>
        <v>Y</v>
      </c>
      <c r="O62" s="11">
        <v>45245.0</v>
      </c>
      <c r="P62" s="12" t="s">
        <v>223</v>
      </c>
      <c r="Q62" s="12" t="s">
        <v>244</v>
      </c>
      <c r="R62" s="12" t="s">
        <v>25</v>
      </c>
      <c r="T62" s="13" t="str">
        <f t="shared" si="1"/>
        <v> </v>
      </c>
      <c r="U62" s="12" t="str">
        <f t="shared" si="2"/>
        <v>Y</v>
      </c>
      <c r="V62" s="12" t="s">
        <v>39</v>
      </c>
    </row>
    <row r="63" ht="12.75" customHeight="1">
      <c r="A63" s="7">
        <v>47409.0</v>
      </c>
      <c r="B63" s="8" t="s">
        <v>245</v>
      </c>
      <c r="C63" s="8" t="s">
        <v>246</v>
      </c>
      <c r="D63" s="9" t="s">
        <v>28</v>
      </c>
      <c r="E63" s="7">
        <v>6.0</v>
      </c>
      <c r="F63" s="8" t="s">
        <v>27</v>
      </c>
      <c r="G63" s="9" t="s">
        <v>28</v>
      </c>
      <c r="H63" s="9" t="s">
        <v>21</v>
      </c>
      <c r="I63" s="9" t="s">
        <v>129</v>
      </c>
      <c r="J63" s="10" t="str">
        <f>IFERROR(VLOOKUP(A63, Sheet1!$O$1:$V$156, 6, FALSE), "")</f>
        <v/>
      </c>
      <c r="K63" s="10" t="str">
        <f>IFERROR(VLOOKUP(A63, Sheet1!$O$1:$V$156, 7, FALSE), "")
</f>
        <v/>
      </c>
      <c r="O63" s="11">
        <v>44357.0</v>
      </c>
      <c r="P63" s="12" t="s">
        <v>247</v>
      </c>
      <c r="Q63" s="12" t="s">
        <v>248</v>
      </c>
      <c r="R63" s="12" t="s">
        <v>25</v>
      </c>
      <c r="S63" s="12" t="s">
        <v>249</v>
      </c>
      <c r="T63" s="13" t="str">
        <f t="shared" si="1"/>
        <v>Y</v>
      </c>
      <c r="U63" s="12" t="str">
        <f t="shared" si="2"/>
        <v>Y</v>
      </c>
      <c r="V63" s="12" t="s">
        <v>240</v>
      </c>
    </row>
    <row r="64" ht="12.75" customHeight="1">
      <c r="A64" s="7">
        <v>44366.0</v>
      </c>
      <c r="B64" s="8" t="s">
        <v>250</v>
      </c>
      <c r="C64" s="8" t="s">
        <v>251</v>
      </c>
      <c r="D64" s="9" t="s">
        <v>28</v>
      </c>
      <c r="E64" s="7">
        <v>8.0</v>
      </c>
      <c r="F64" s="8" t="s">
        <v>61</v>
      </c>
      <c r="G64" s="9" t="s">
        <v>92</v>
      </c>
      <c r="H64" s="9" t="s">
        <v>21</v>
      </c>
      <c r="I64" s="9" t="s">
        <v>25</v>
      </c>
      <c r="J64" s="10" t="str">
        <f>IFERROR(VLOOKUP(A64, Sheet1!$O$1:$V$156, 6, FALSE), "")</f>
        <v/>
      </c>
      <c r="K64" s="10" t="str">
        <f>IFERROR(VLOOKUP(A64, Sheet1!$O$1:$V$156, 7, FALSE), "")
</f>
        <v/>
      </c>
      <c r="O64" s="11">
        <v>45278.0</v>
      </c>
      <c r="P64" s="12" t="s">
        <v>252</v>
      </c>
      <c r="Q64" s="12" t="s">
        <v>253</v>
      </c>
      <c r="R64" s="12" t="s">
        <v>25</v>
      </c>
      <c r="S64" s="12" t="s">
        <v>254</v>
      </c>
      <c r="T64" s="13" t="str">
        <f t="shared" si="1"/>
        <v>Y</v>
      </c>
      <c r="U64" s="12" t="str">
        <f t="shared" si="2"/>
        <v>Y</v>
      </c>
      <c r="V64" s="12" t="s">
        <v>240</v>
      </c>
    </row>
    <row r="65" ht="12.75" customHeight="1">
      <c r="A65" s="7">
        <v>44380.0</v>
      </c>
      <c r="B65" s="8" t="s">
        <v>255</v>
      </c>
      <c r="C65" s="8" t="s">
        <v>256</v>
      </c>
      <c r="D65" s="9" t="s">
        <v>18</v>
      </c>
      <c r="E65" s="7">
        <v>8.0</v>
      </c>
      <c r="F65" s="8" t="s">
        <v>61</v>
      </c>
      <c r="G65" s="9" t="s">
        <v>28</v>
      </c>
      <c r="H65" s="9" t="s">
        <v>21</v>
      </c>
      <c r="I65" s="9" t="s">
        <v>22</v>
      </c>
      <c r="J65" s="10" t="str">
        <f>IFERROR(VLOOKUP(A65, Sheet1!$O$1:$V$156, 6, FALSE), "")</f>
        <v/>
      </c>
      <c r="K65" s="10" t="str">
        <f>IFERROR(VLOOKUP(A65, Sheet1!$O$1:$V$156, 7, FALSE), "")
</f>
        <v/>
      </c>
      <c r="O65" s="11">
        <v>46001.0</v>
      </c>
      <c r="P65" s="12" t="s">
        <v>257</v>
      </c>
      <c r="Q65" s="12" t="s">
        <v>258</v>
      </c>
      <c r="R65" s="12" t="s">
        <v>25</v>
      </c>
      <c r="T65" s="13" t="str">
        <f t="shared" si="1"/>
        <v> </v>
      </c>
      <c r="U65" s="12" t="str">
        <f t="shared" si="2"/>
        <v>Y</v>
      </c>
      <c r="V65" s="12" t="s">
        <v>240</v>
      </c>
    </row>
    <row r="66" ht="12.75" customHeight="1">
      <c r="A66" s="7">
        <v>44380.0</v>
      </c>
      <c r="B66" s="8" t="s">
        <v>255</v>
      </c>
      <c r="C66" s="8" t="s">
        <v>256</v>
      </c>
      <c r="D66" s="9" t="s">
        <v>18</v>
      </c>
      <c r="E66" s="7">
        <v>8.0</v>
      </c>
      <c r="F66" s="8" t="s">
        <v>48</v>
      </c>
      <c r="G66" s="9" t="s">
        <v>98</v>
      </c>
      <c r="H66" s="9" t="s">
        <v>35</v>
      </c>
      <c r="I66" s="9" t="s">
        <v>22</v>
      </c>
      <c r="J66" s="10" t="str">
        <f>IFERROR(VLOOKUP(A66, Sheet1!$O$1:$V$156, 6, FALSE), "")</f>
        <v/>
      </c>
      <c r="K66" s="10" t="str">
        <f>IFERROR(VLOOKUP(A66, Sheet1!$O$1:$V$156, 7, FALSE), "")
</f>
        <v/>
      </c>
      <c r="O66" s="11">
        <v>47059.0</v>
      </c>
      <c r="P66" s="12" t="s">
        <v>148</v>
      </c>
      <c r="Q66" s="12" t="s">
        <v>147</v>
      </c>
      <c r="R66" s="12" t="s">
        <v>25</v>
      </c>
      <c r="T66" s="13" t="str">
        <f t="shared" si="1"/>
        <v> </v>
      </c>
      <c r="U66" s="12" t="str">
        <f t="shared" si="2"/>
        <v>Y</v>
      </c>
      <c r="V66" s="12" t="s">
        <v>240</v>
      </c>
    </row>
    <row r="67" ht="12.75" customHeight="1">
      <c r="A67" s="7">
        <v>45002.0</v>
      </c>
      <c r="B67" s="8" t="s">
        <v>259</v>
      </c>
      <c r="C67" s="8" t="s">
        <v>260</v>
      </c>
      <c r="D67" s="9" t="s">
        <v>18</v>
      </c>
      <c r="E67" s="7">
        <v>7.0</v>
      </c>
      <c r="F67" s="8" t="s">
        <v>42</v>
      </c>
      <c r="G67" s="9" t="s">
        <v>118</v>
      </c>
      <c r="H67" s="9" t="s">
        <v>35</v>
      </c>
      <c r="I67" s="9" t="s">
        <v>28</v>
      </c>
      <c r="J67" s="10" t="str">
        <f>IFERROR(VLOOKUP(A67, Sheet1!$O$1:$V$156, 6, FALSE), "")</f>
        <v/>
      </c>
      <c r="K67" s="10" t="str">
        <f>IFERROR(VLOOKUP(A67, Sheet1!$O$1:$V$156, 7, FALSE), "")
</f>
        <v/>
      </c>
      <c r="O67" s="11">
        <v>45723.0</v>
      </c>
      <c r="P67" s="12" t="s">
        <v>108</v>
      </c>
      <c r="Q67" s="12" t="s">
        <v>261</v>
      </c>
      <c r="R67" s="12" t="s">
        <v>25</v>
      </c>
      <c r="T67" s="13" t="str">
        <f t="shared" si="1"/>
        <v> </v>
      </c>
      <c r="U67" s="12" t="str">
        <f t="shared" si="2"/>
        <v>Y</v>
      </c>
      <c r="V67" s="12" t="s">
        <v>240</v>
      </c>
    </row>
    <row r="68" ht="12.75" customHeight="1">
      <c r="A68" s="7">
        <v>46850.0</v>
      </c>
      <c r="B68" s="8" t="s">
        <v>262</v>
      </c>
      <c r="C68" s="8" t="s">
        <v>263</v>
      </c>
      <c r="D68" s="9" t="s">
        <v>18</v>
      </c>
      <c r="E68" s="7">
        <v>8.0</v>
      </c>
      <c r="F68" s="8" t="s">
        <v>264</v>
      </c>
      <c r="G68" s="9" t="s">
        <v>118</v>
      </c>
      <c r="H68" s="9" t="s">
        <v>35</v>
      </c>
      <c r="I68" s="9" t="s">
        <v>129</v>
      </c>
      <c r="J68" s="10" t="str">
        <f>IFERROR(VLOOKUP(A68, Sheet1!$O$1:$V$156, 6, FALSE), "")</f>
        <v/>
      </c>
      <c r="K68" s="10" t="str">
        <f>IFERROR(VLOOKUP(A68, Sheet1!$O$1:$V$156, 7, FALSE), "")
</f>
        <v/>
      </c>
      <c r="O68" s="11">
        <v>44870.0</v>
      </c>
      <c r="P68" s="12" t="s">
        <v>265</v>
      </c>
      <c r="Q68" s="12" t="s">
        <v>266</v>
      </c>
      <c r="R68" s="12" t="s">
        <v>25</v>
      </c>
      <c r="T68" s="13" t="str">
        <f t="shared" si="1"/>
        <v> </v>
      </c>
      <c r="U68" s="12" t="str">
        <f t="shared" si="2"/>
        <v>Y</v>
      </c>
      <c r="V68" s="12" t="s">
        <v>240</v>
      </c>
    </row>
    <row r="69" ht="12.75" customHeight="1">
      <c r="A69" s="7">
        <v>44868.0</v>
      </c>
      <c r="B69" s="8" t="s">
        <v>267</v>
      </c>
      <c r="C69" s="8" t="s">
        <v>268</v>
      </c>
      <c r="D69" s="9" t="s">
        <v>18</v>
      </c>
      <c r="E69" s="7">
        <v>7.0</v>
      </c>
      <c r="F69" s="8" t="s">
        <v>42</v>
      </c>
      <c r="G69" s="9" t="s">
        <v>269</v>
      </c>
      <c r="H69" s="9" t="s">
        <v>35</v>
      </c>
      <c r="I69" s="9" t="s">
        <v>22</v>
      </c>
      <c r="J69" s="10" t="str">
        <f>IFERROR(VLOOKUP(A69, Sheet1!$O$1:$V$156, 6, FALSE), "")</f>
        <v/>
      </c>
      <c r="K69" s="10" t="str">
        <f>IFERROR(VLOOKUP(A69, Sheet1!$O$1:$V$156, 7, FALSE), "")
</f>
        <v/>
      </c>
      <c r="O69" s="11">
        <v>46015.0</v>
      </c>
      <c r="P69" s="12" t="s">
        <v>209</v>
      </c>
      <c r="Q69" s="12" t="s">
        <v>205</v>
      </c>
      <c r="R69" s="12" t="s">
        <v>25</v>
      </c>
      <c r="T69" s="13" t="str">
        <f t="shared" si="1"/>
        <v> </v>
      </c>
      <c r="U69" s="12" t="str">
        <f t="shared" si="2"/>
        <v>Y</v>
      </c>
      <c r="V69" s="12" t="s">
        <v>240</v>
      </c>
    </row>
    <row r="70" ht="12.75" customHeight="1">
      <c r="A70" s="7">
        <v>44868.0</v>
      </c>
      <c r="B70" s="8" t="s">
        <v>267</v>
      </c>
      <c r="C70" s="8" t="s">
        <v>268</v>
      </c>
      <c r="D70" s="9" t="s">
        <v>18</v>
      </c>
      <c r="E70" s="7">
        <v>7.0</v>
      </c>
      <c r="F70" s="8" t="s">
        <v>144</v>
      </c>
      <c r="G70" s="9" t="s">
        <v>57</v>
      </c>
      <c r="H70" s="9" t="s">
        <v>35</v>
      </c>
      <c r="I70" s="9" t="s">
        <v>22</v>
      </c>
      <c r="J70" s="10" t="str">
        <f>IFERROR(VLOOKUP(A70, Sheet1!$O$1:$V$156, 6, FALSE), "")</f>
        <v/>
      </c>
      <c r="K70" s="10" t="str">
        <f>IFERROR(VLOOKUP(A70, Sheet1!$O$1:$V$156, 7, FALSE), "")
</f>
        <v/>
      </c>
      <c r="O70" s="11">
        <v>44753.0</v>
      </c>
      <c r="P70" s="12" t="s">
        <v>108</v>
      </c>
      <c r="Q70" s="12" t="s">
        <v>270</v>
      </c>
      <c r="R70" s="12" t="s">
        <v>25</v>
      </c>
      <c r="T70" s="13" t="str">
        <f t="shared" si="1"/>
        <v> </v>
      </c>
      <c r="U70" s="12" t="str">
        <f t="shared" si="2"/>
        <v>Y</v>
      </c>
      <c r="V70" s="12" t="s">
        <v>240</v>
      </c>
    </row>
    <row r="71" ht="12.75" customHeight="1">
      <c r="A71" s="7">
        <v>44868.0</v>
      </c>
      <c r="B71" s="8" t="s">
        <v>267</v>
      </c>
      <c r="C71" s="8" t="s">
        <v>268</v>
      </c>
      <c r="D71" s="9" t="s">
        <v>18</v>
      </c>
      <c r="E71" s="7">
        <v>7.0</v>
      </c>
      <c r="F71" s="8" t="s">
        <v>222</v>
      </c>
      <c r="G71" s="9" t="s">
        <v>28</v>
      </c>
      <c r="H71" s="9" t="s">
        <v>21</v>
      </c>
      <c r="I71" s="9" t="s">
        <v>22</v>
      </c>
      <c r="J71" s="10" t="str">
        <f>IFERROR(VLOOKUP(A71, Sheet1!$O$1:$V$156, 6, FALSE), "")</f>
        <v/>
      </c>
      <c r="K71" s="10" t="str">
        <f>IFERROR(VLOOKUP(A71, Sheet1!$O$1:$V$156, 7, FALSE), "")
</f>
        <v/>
      </c>
      <c r="O71" s="11">
        <v>43923.0</v>
      </c>
      <c r="P71" s="12" t="s">
        <v>271</v>
      </c>
      <c r="Q71" s="12" t="s">
        <v>272</v>
      </c>
      <c r="R71" s="12" t="s">
        <v>25</v>
      </c>
      <c r="T71" s="13" t="str">
        <f t="shared" si="1"/>
        <v> </v>
      </c>
      <c r="U71" s="12" t="str">
        <f t="shared" si="2"/>
        <v>Y</v>
      </c>
      <c r="V71" s="12" t="s">
        <v>240</v>
      </c>
    </row>
    <row r="72" ht="12.75" customHeight="1">
      <c r="A72" s="7">
        <v>47126.0</v>
      </c>
      <c r="B72" s="8" t="s">
        <v>273</v>
      </c>
      <c r="C72" s="8" t="s">
        <v>87</v>
      </c>
      <c r="D72" s="9" t="s">
        <v>28</v>
      </c>
      <c r="E72" s="7">
        <v>6.0</v>
      </c>
      <c r="F72" s="8" t="s">
        <v>27</v>
      </c>
      <c r="G72" s="9" t="s">
        <v>28</v>
      </c>
      <c r="H72" s="9" t="s">
        <v>21</v>
      </c>
      <c r="I72" s="9" t="s">
        <v>25</v>
      </c>
      <c r="J72" s="10" t="str">
        <f>IFERROR(VLOOKUP(A72, Sheet1!$O$1:$V$156, 6, FALSE), "")</f>
        <v/>
      </c>
      <c r="K72" s="10" t="str">
        <f>IFERROR(VLOOKUP(A72, Sheet1!$O$1:$V$156, 7, FALSE), "")
</f>
        <v/>
      </c>
      <c r="O72" s="11">
        <v>45347.0</v>
      </c>
      <c r="P72" s="12" t="s">
        <v>80</v>
      </c>
      <c r="Q72" s="12" t="s">
        <v>274</v>
      </c>
      <c r="R72" s="12" t="s">
        <v>25</v>
      </c>
      <c r="T72" s="13" t="str">
        <f t="shared" si="1"/>
        <v> </v>
      </c>
      <c r="U72" s="12" t="str">
        <f t="shared" si="2"/>
        <v>Y</v>
      </c>
      <c r="V72" s="12" t="s">
        <v>240</v>
      </c>
    </row>
    <row r="73" ht="12.75" customHeight="1">
      <c r="A73" s="7">
        <v>45347.0</v>
      </c>
      <c r="B73" s="8" t="s">
        <v>274</v>
      </c>
      <c r="C73" s="8" t="s">
        <v>80</v>
      </c>
      <c r="D73" s="9" t="s">
        <v>18</v>
      </c>
      <c r="E73" s="7">
        <v>8.0</v>
      </c>
      <c r="F73" s="8" t="s">
        <v>128</v>
      </c>
      <c r="G73" s="9" t="s">
        <v>28</v>
      </c>
      <c r="H73" s="9" t="s">
        <v>21</v>
      </c>
      <c r="I73" s="9" t="s">
        <v>25</v>
      </c>
      <c r="J73" s="10" t="str">
        <f>IFERROR(VLOOKUP(A73, Sheet1!$O$1:$V$156, 6, FALSE), "")</f>
        <v> </v>
      </c>
      <c r="K73" s="10" t="str">
        <f>IFERROR(VLOOKUP(A73, Sheet1!$O$1:$V$156, 7, FALSE), "")
</f>
        <v>Y</v>
      </c>
      <c r="O73" s="11">
        <v>44457.0</v>
      </c>
      <c r="P73" s="12" t="s">
        <v>275</v>
      </c>
      <c r="Q73" s="12" t="s">
        <v>276</v>
      </c>
      <c r="R73" s="12" t="s">
        <v>25</v>
      </c>
      <c r="T73" s="13" t="str">
        <f t="shared" si="1"/>
        <v> </v>
      </c>
      <c r="U73" s="12" t="str">
        <f t="shared" si="2"/>
        <v>Y</v>
      </c>
      <c r="V73" s="12" t="s">
        <v>240</v>
      </c>
    </row>
    <row r="74" ht="12.75" customHeight="1">
      <c r="A74" s="7">
        <v>45347.0</v>
      </c>
      <c r="B74" s="8" t="s">
        <v>274</v>
      </c>
      <c r="C74" s="8" t="s">
        <v>80</v>
      </c>
      <c r="D74" s="9" t="s">
        <v>18</v>
      </c>
      <c r="E74" s="7">
        <v>8.0</v>
      </c>
      <c r="F74" s="8" t="s">
        <v>48</v>
      </c>
      <c r="G74" s="9" t="s">
        <v>28</v>
      </c>
      <c r="H74" s="9" t="s">
        <v>21</v>
      </c>
      <c r="I74" s="9" t="s">
        <v>25</v>
      </c>
      <c r="J74" s="10" t="str">
        <f>IFERROR(VLOOKUP(A74, Sheet1!$O$1:$V$156, 6, FALSE), "")</f>
        <v> </v>
      </c>
      <c r="K74" s="10" t="str">
        <f>IFERROR(VLOOKUP(A74, Sheet1!$O$1:$V$156, 7, FALSE), "")
</f>
        <v>Y</v>
      </c>
      <c r="O74" s="11">
        <v>45733.0</v>
      </c>
      <c r="P74" s="12" t="s">
        <v>277</v>
      </c>
      <c r="Q74" s="12" t="s">
        <v>278</v>
      </c>
      <c r="R74" s="12" t="s">
        <v>25</v>
      </c>
      <c r="T74" s="13" t="str">
        <f t="shared" si="1"/>
        <v> </v>
      </c>
      <c r="U74" s="12" t="str">
        <f t="shared" si="2"/>
        <v>Y</v>
      </c>
      <c r="V74" s="12" t="s">
        <v>240</v>
      </c>
    </row>
    <row r="75" ht="12.75" customHeight="1">
      <c r="A75" s="7">
        <v>45347.0</v>
      </c>
      <c r="B75" s="8" t="s">
        <v>274</v>
      </c>
      <c r="C75" s="8" t="s">
        <v>80</v>
      </c>
      <c r="D75" s="9" t="s">
        <v>18</v>
      </c>
      <c r="E75" s="7">
        <v>8.0</v>
      </c>
      <c r="F75" s="8" t="s">
        <v>243</v>
      </c>
      <c r="G75" s="9" t="s">
        <v>57</v>
      </c>
      <c r="H75" s="9" t="s">
        <v>21</v>
      </c>
      <c r="I75" s="9" t="s">
        <v>25</v>
      </c>
      <c r="J75" s="10" t="str">
        <f>IFERROR(VLOOKUP(A75, Sheet1!$O$1:$V$156, 6, FALSE), "")</f>
        <v> </v>
      </c>
      <c r="K75" s="10" t="str">
        <f>IFERROR(VLOOKUP(A75, Sheet1!$O$1:$V$156, 7, FALSE), "")
</f>
        <v>Y</v>
      </c>
      <c r="O75" s="11">
        <v>47135.0</v>
      </c>
      <c r="P75" s="12" t="s">
        <v>279</v>
      </c>
      <c r="Q75" s="12" t="s">
        <v>280</v>
      </c>
      <c r="R75" s="12" t="s">
        <v>25</v>
      </c>
      <c r="T75" s="13" t="str">
        <f t="shared" si="1"/>
        <v> </v>
      </c>
      <c r="U75" s="12" t="str">
        <f t="shared" si="2"/>
        <v>Y</v>
      </c>
      <c r="V75" s="12" t="s">
        <v>240</v>
      </c>
    </row>
    <row r="76" ht="12.75" customHeight="1">
      <c r="A76" s="7">
        <v>45347.0</v>
      </c>
      <c r="B76" s="8" t="s">
        <v>274</v>
      </c>
      <c r="C76" s="8" t="s">
        <v>80</v>
      </c>
      <c r="D76" s="9" t="s">
        <v>18</v>
      </c>
      <c r="E76" s="7">
        <v>8.0</v>
      </c>
      <c r="F76" s="8" t="s">
        <v>56</v>
      </c>
      <c r="G76" s="9" t="s">
        <v>28</v>
      </c>
      <c r="H76" s="9" t="s">
        <v>21</v>
      </c>
      <c r="I76" s="9" t="s">
        <v>25</v>
      </c>
      <c r="J76" s="10" t="str">
        <f>IFERROR(VLOOKUP(A76, Sheet1!$O$1:$V$156, 6, FALSE), "")</f>
        <v> </v>
      </c>
      <c r="K76" s="10" t="str">
        <f>IFERROR(VLOOKUP(A76, Sheet1!$O$1:$V$156, 7, FALSE), "")
</f>
        <v>Y</v>
      </c>
      <c r="O76" s="11">
        <v>46868.0</v>
      </c>
      <c r="P76" s="12" t="s">
        <v>281</v>
      </c>
      <c r="Q76" s="12" t="s">
        <v>282</v>
      </c>
      <c r="R76" s="12" t="s">
        <v>25</v>
      </c>
      <c r="T76" s="13" t="str">
        <f t="shared" si="1"/>
        <v> </v>
      </c>
      <c r="U76" s="12" t="str">
        <f t="shared" si="2"/>
        <v>Y</v>
      </c>
      <c r="V76" s="12" t="s">
        <v>240</v>
      </c>
    </row>
    <row r="77" ht="12.75" customHeight="1">
      <c r="A77" s="7">
        <v>46826.0</v>
      </c>
      <c r="B77" s="8" t="s">
        <v>283</v>
      </c>
      <c r="C77" s="8" t="s">
        <v>284</v>
      </c>
      <c r="D77" s="9" t="s">
        <v>18</v>
      </c>
      <c r="E77" s="7">
        <v>6.0</v>
      </c>
      <c r="F77" s="8" t="s">
        <v>27</v>
      </c>
      <c r="G77" s="9" t="s">
        <v>191</v>
      </c>
      <c r="H77" s="9" t="s">
        <v>35</v>
      </c>
      <c r="I77" s="9" t="s">
        <v>25</v>
      </c>
      <c r="J77" s="10" t="str">
        <f>IFERROR(VLOOKUP(A77, Sheet1!$O$1:$V$156, 6, FALSE), "")</f>
        <v/>
      </c>
      <c r="K77" s="10" t="str">
        <f>IFERROR(VLOOKUP(A77, Sheet1!$O$1:$V$156, 7, FALSE), "")
</f>
        <v/>
      </c>
      <c r="O77" s="11">
        <v>46889.0</v>
      </c>
      <c r="P77" s="12" t="s">
        <v>285</v>
      </c>
      <c r="Q77" s="12" t="s">
        <v>286</v>
      </c>
      <c r="R77" s="12" t="s">
        <v>129</v>
      </c>
      <c r="T77" s="13" t="str">
        <f t="shared" si="1"/>
        <v> </v>
      </c>
      <c r="U77" s="12" t="str">
        <f t="shared" si="2"/>
        <v>Y</v>
      </c>
      <c r="V77" s="12" t="s">
        <v>240</v>
      </c>
    </row>
    <row r="78" ht="12.75" customHeight="1">
      <c r="A78" s="7">
        <v>46826.0</v>
      </c>
      <c r="B78" s="8" t="s">
        <v>283</v>
      </c>
      <c r="C78" s="8" t="s">
        <v>284</v>
      </c>
      <c r="D78" s="9" t="s">
        <v>18</v>
      </c>
      <c r="E78" s="7">
        <v>6.0</v>
      </c>
      <c r="F78" s="8" t="s">
        <v>287</v>
      </c>
      <c r="G78" s="9" t="s">
        <v>186</v>
      </c>
      <c r="H78" s="9" t="s">
        <v>35</v>
      </c>
      <c r="I78" s="9" t="s">
        <v>25</v>
      </c>
      <c r="J78" s="10" t="str">
        <f>IFERROR(VLOOKUP(A78, Sheet1!$O$1:$V$156, 6, FALSE), "")</f>
        <v/>
      </c>
      <c r="K78" s="10" t="str">
        <f>IFERROR(VLOOKUP(A78, Sheet1!$O$1:$V$156, 7, FALSE), "")
</f>
        <v/>
      </c>
      <c r="O78" s="11">
        <v>46844.0</v>
      </c>
      <c r="P78" s="12" t="s">
        <v>288</v>
      </c>
      <c r="Q78" s="12" t="s">
        <v>289</v>
      </c>
      <c r="R78" s="12" t="s">
        <v>129</v>
      </c>
      <c r="T78" s="13" t="str">
        <f t="shared" si="1"/>
        <v> </v>
      </c>
      <c r="U78" s="12" t="str">
        <f t="shared" si="2"/>
        <v>Y</v>
      </c>
      <c r="V78" s="12" t="s">
        <v>240</v>
      </c>
    </row>
    <row r="79" ht="12.75" customHeight="1">
      <c r="A79" s="7">
        <v>44998.0</v>
      </c>
      <c r="B79" s="8" t="s">
        <v>290</v>
      </c>
      <c r="C79" s="8" t="s">
        <v>291</v>
      </c>
      <c r="D79" s="9" t="s">
        <v>18</v>
      </c>
      <c r="E79" s="7">
        <v>7.0</v>
      </c>
      <c r="F79" s="8" t="s">
        <v>222</v>
      </c>
      <c r="G79" s="9" t="s">
        <v>28</v>
      </c>
      <c r="H79" s="9" t="s">
        <v>21</v>
      </c>
      <c r="I79" s="9" t="s">
        <v>28</v>
      </c>
      <c r="J79" s="10" t="str">
        <f>IFERROR(VLOOKUP(A79, Sheet1!$O$1:$V$156, 6, FALSE), "")</f>
        <v>Y</v>
      </c>
      <c r="K79" s="10" t="str">
        <f>IFERROR(VLOOKUP(A79, Sheet1!$O$1:$V$156, 7, FALSE), "")
</f>
        <v> </v>
      </c>
      <c r="O79" s="11">
        <v>47480.0</v>
      </c>
      <c r="P79" s="12" t="s">
        <v>93</v>
      </c>
      <c r="Q79" s="12" t="s">
        <v>292</v>
      </c>
      <c r="R79" s="12" t="s">
        <v>25</v>
      </c>
      <c r="T79" s="13" t="str">
        <f t="shared" si="1"/>
        <v> </v>
      </c>
      <c r="U79" s="12" t="str">
        <f t="shared" si="2"/>
        <v>Y</v>
      </c>
      <c r="V79" s="12" t="s">
        <v>240</v>
      </c>
    </row>
    <row r="80" ht="12.75" customHeight="1">
      <c r="A80" s="7">
        <v>44998.0</v>
      </c>
      <c r="B80" s="8" t="s">
        <v>290</v>
      </c>
      <c r="C80" s="8" t="s">
        <v>291</v>
      </c>
      <c r="D80" s="9" t="s">
        <v>18</v>
      </c>
      <c r="E80" s="7">
        <v>7.0</v>
      </c>
      <c r="F80" s="8" t="s">
        <v>144</v>
      </c>
      <c r="G80" s="9" t="s">
        <v>28</v>
      </c>
      <c r="H80" s="9" t="s">
        <v>21</v>
      </c>
      <c r="I80" s="9" t="s">
        <v>28</v>
      </c>
      <c r="J80" s="10" t="str">
        <f>IFERROR(VLOOKUP(A80, Sheet1!$O$1:$V$156, 6, FALSE), "")</f>
        <v>Y</v>
      </c>
      <c r="K80" s="10" t="str">
        <f>IFERROR(VLOOKUP(A80, Sheet1!$O$1:$V$156, 7, FALSE), "")
</f>
        <v> </v>
      </c>
      <c r="O80" s="11">
        <v>45202.0</v>
      </c>
      <c r="P80" s="12" t="s">
        <v>293</v>
      </c>
      <c r="Q80" s="12" t="s">
        <v>294</v>
      </c>
      <c r="R80" s="12" t="s">
        <v>28</v>
      </c>
      <c r="T80" s="13" t="str">
        <f t="shared" si="1"/>
        <v> </v>
      </c>
      <c r="U80" s="12" t="str">
        <f t="shared" si="2"/>
        <v>Y</v>
      </c>
      <c r="V80" s="12" t="s">
        <v>240</v>
      </c>
    </row>
    <row r="81" ht="12.75" customHeight="1">
      <c r="A81" s="7">
        <v>47193.0</v>
      </c>
      <c r="B81" s="8" t="s">
        <v>295</v>
      </c>
      <c r="C81" s="8" t="s">
        <v>296</v>
      </c>
      <c r="D81" s="9" t="s">
        <v>18</v>
      </c>
      <c r="E81" s="7">
        <v>7.0</v>
      </c>
      <c r="F81" s="8" t="s">
        <v>144</v>
      </c>
      <c r="G81" s="9" t="s">
        <v>92</v>
      </c>
      <c r="H81" s="9" t="s">
        <v>21</v>
      </c>
      <c r="I81" s="9" t="s">
        <v>25</v>
      </c>
      <c r="J81" s="10" t="str">
        <f>IFERROR(VLOOKUP(A81, Sheet1!$O$1:$V$156, 6, FALSE), "")</f>
        <v/>
      </c>
      <c r="K81" s="10" t="str">
        <f>IFERROR(VLOOKUP(A81, Sheet1!$O$1:$V$156, 7, FALSE), "")
</f>
        <v/>
      </c>
      <c r="O81" s="11">
        <v>46848.0</v>
      </c>
      <c r="P81" s="12" t="s">
        <v>297</v>
      </c>
      <c r="Q81" s="12" t="s">
        <v>298</v>
      </c>
      <c r="R81" s="12" t="s">
        <v>28</v>
      </c>
      <c r="T81" s="13" t="str">
        <f t="shared" si="1"/>
        <v> </v>
      </c>
      <c r="U81" s="12" t="str">
        <f t="shared" si="2"/>
        <v>Y</v>
      </c>
      <c r="V81" s="12" t="s">
        <v>240</v>
      </c>
    </row>
    <row r="82" ht="12.75" customHeight="1">
      <c r="A82" s="7">
        <v>44421.0</v>
      </c>
      <c r="B82" s="8" t="s">
        <v>71</v>
      </c>
      <c r="C82" s="8" t="s">
        <v>70</v>
      </c>
      <c r="D82" s="9" t="s">
        <v>18</v>
      </c>
      <c r="E82" s="7">
        <v>7.0</v>
      </c>
      <c r="F82" s="8" t="s">
        <v>91</v>
      </c>
      <c r="G82" s="9" t="s">
        <v>92</v>
      </c>
      <c r="H82" s="9" t="s">
        <v>21</v>
      </c>
      <c r="I82" s="9" t="s">
        <v>25</v>
      </c>
      <c r="J82" s="10" t="str">
        <f>IFERROR(VLOOKUP(A82, Sheet1!$O$1:$V$156, 6, FALSE), "")</f>
        <v>Y</v>
      </c>
      <c r="K82" s="10" t="str">
        <f>IFERROR(VLOOKUP(A82, Sheet1!$O$1:$V$156, 7, FALSE), "")
</f>
        <v>Y</v>
      </c>
      <c r="O82" s="11">
        <v>46778.0</v>
      </c>
      <c r="P82" s="12" t="s">
        <v>299</v>
      </c>
      <c r="Q82" s="12" t="s">
        <v>300</v>
      </c>
      <c r="R82" s="12" t="s">
        <v>25</v>
      </c>
      <c r="S82" s="12" t="s">
        <v>301</v>
      </c>
      <c r="T82" s="13" t="str">
        <f t="shared" si="1"/>
        <v>Y</v>
      </c>
      <c r="U82" s="12" t="str">
        <f t="shared" si="2"/>
        <v>Y</v>
      </c>
      <c r="V82" s="12" t="s">
        <v>302</v>
      </c>
    </row>
    <row r="83" ht="12.75" customHeight="1">
      <c r="A83" s="7">
        <v>44421.0</v>
      </c>
      <c r="B83" s="8" t="s">
        <v>71</v>
      </c>
      <c r="C83" s="8" t="s">
        <v>70</v>
      </c>
      <c r="D83" s="9" t="s">
        <v>18</v>
      </c>
      <c r="E83" s="7">
        <v>7.0</v>
      </c>
      <c r="F83" s="8" t="s">
        <v>144</v>
      </c>
      <c r="G83" s="9" t="s">
        <v>28</v>
      </c>
      <c r="H83" s="9" t="s">
        <v>21</v>
      </c>
      <c r="I83" s="9" t="s">
        <v>25</v>
      </c>
      <c r="J83" s="10" t="str">
        <f>IFERROR(VLOOKUP(A83, Sheet1!$O$1:$V$156, 6, FALSE), "")</f>
        <v>Y</v>
      </c>
      <c r="K83" s="10" t="str">
        <f>IFERROR(VLOOKUP(A83, Sheet1!$O$1:$V$156, 7, FALSE), "")
</f>
        <v>Y</v>
      </c>
      <c r="O83" s="11">
        <v>44392.0</v>
      </c>
      <c r="P83" s="12" t="s">
        <v>303</v>
      </c>
      <c r="Q83" s="12" t="s">
        <v>304</v>
      </c>
      <c r="R83" s="12" t="s">
        <v>25</v>
      </c>
      <c r="T83" s="13" t="str">
        <f t="shared" si="1"/>
        <v> </v>
      </c>
      <c r="U83" s="12" t="str">
        <f t="shared" si="2"/>
        <v>Y</v>
      </c>
      <c r="V83" s="12" t="s">
        <v>240</v>
      </c>
    </row>
    <row r="84" ht="12.75" customHeight="1">
      <c r="A84" s="7">
        <v>44421.0</v>
      </c>
      <c r="B84" s="8" t="s">
        <v>71</v>
      </c>
      <c r="C84" s="8" t="s">
        <v>70</v>
      </c>
      <c r="D84" s="9" t="s">
        <v>18</v>
      </c>
      <c r="E84" s="7">
        <v>7.0</v>
      </c>
      <c r="F84" s="8" t="s">
        <v>95</v>
      </c>
      <c r="G84" s="9" t="s">
        <v>28</v>
      </c>
      <c r="H84" s="9" t="s">
        <v>21</v>
      </c>
      <c r="I84" s="9" t="s">
        <v>25</v>
      </c>
      <c r="J84" s="10" t="str">
        <f>IFERROR(VLOOKUP(A84, Sheet1!$O$1:$V$156, 6, FALSE), "")</f>
        <v>Y</v>
      </c>
      <c r="K84" s="10" t="str">
        <f>IFERROR(VLOOKUP(A84, Sheet1!$O$1:$V$156, 7, FALSE), "")
</f>
        <v>Y</v>
      </c>
      <c r="O84" s="11">
        <v>45807.0</v>
      </c>
      <c r="P84" s="12" t="s">
        <v>305</v>
      </c>
      <c r="Q84" s="12" t="s">
        <v>306</v>
      </c>
      <c r="R84" s="12" t="s">
        <v>129</v>
      </c>
      <c r="T84" s="13" t="str">
        <f t="shared" si="1"/>
        <v> </v>
      </c>
      <c r="U84" s="12" t="str">
        <f t="shared" si="2"/>
        <v>Y</v>
      </c>
      <c r="V84" s="12" t="s">
        <v>240</v>
      </c>
    </row>
    <row r="85" ht="12.75" customHeight="1">
      <c r="A85" s="7">
        <v>44833.0</v>
      </c>
      <c r="B85" s="8" t="s">
        <v>307</v>
      </c>
      <c r="C85" s="8" t="s">
        <v>308</v>
      </c>
      <c r="D85" s="9" t="s">
        <v>18</v>
      </c>
      <c r="E85" s="7">
        <v>7.0</v>
      </c>
      <c r="F85" s="8" t="s">
        <v>42</v>
      </c>
      <c r="G85" s="9" t="s">
        <v>34</v>
      </c>
      <c r="H85" s="9" t="s">
        <v>35</v>
      </c>
      <c r="I85" s="9" t="s">
        <v>25</v>
      </c>
      <c r="J85" s="10" t="str">
        <f>IFERROR(VLOOKUP(A85, Sheet1!$O$1:$V$156, 6, FALSE), "")</f>
        <v/>
      </c>
      <c r="K85" s="10" t="str">
        <f>IFERROR(VLOOKUP(A85, Sheet1!$O$1:$V$156, 7, FALSE), "")
</f>
        <v/>
      </c>
      <c r="O85" s="11">
        <v>44906.0</v>
      </c>
      <c r="P85" s="12" t="s">
        <v>309</v>
      </c>
      <c r="Q85" s="12" t="s">
        <v>310</v>
      </c>
      <c r="R85" s="12" t="s">
        <v>25</v>
      </c>
      <c r="S85" s="12" t="s">
        <v>311</v>
      </c>
      <c r="T85" s="13" t="str">
        <f t="shared" si="1"/>
        <v>Y</v>
      </c>
      <c r="U85" s="12" t="str">
        <f t="shared" si="2"/>
        <v>Y</v>
      </c>
      <c r="V85" s="12" t="s">
        <v>302</v>
      </c>
    </row>
    <row r="86" ht="12.75" customHeight="1">
      <c r="A86" s="7">
        <v>47416.0</v>
      </c>
      <c r="B86" s="8" t="s">
        <v>312</v>
      </c>
      <c r="C86" s="8" t="s">
        <v>313</v>
      </c>
      <c r="D86" s="9" t="s">
        <v>28</v>
      </c>
      <c r="E86" s="7">
        <v>8.0</v>
      </c>
      <c r="F86" s="8" t="s">
        <v>61</v>
      </c>
      <c r="G86" s="9" t="s">
        <v>28</v>
      </c>
      <c r="H86" s="9" t="s">
        <v>21</v>
      </c>
      <c r="I86" s="9" t="s">
        <v>25</v>
      </c>
      <c r="J86" s="10" t="str">
        <f>IFERROR(VLOOKUP(A86, Sheet1!$O$1:$V$156, 6, FALSE), "")</f>
        <v>Y</v>
      </c>
      <c r="K86" s="10" t="str">
        <f>IFERROR(VLOOKUP(A86, Sheet1!$O$1:$V$156, 7, FALSE), "")
</f>
        <v> </v>
      </c>
      <c r="O86" s="11">
        <v>46406.0</v>
      </c>
      <c r="P86" s="12" t="s">
        <v>314</v>
      </c>
      <c r="Q86" s="12" t="s">
        <v>315</v>
      </c>
      <c r="R86" s="12" t="s">
        <v>25</v>
      </c>
      <c r="S86" s="12" t="s">
        <v>254</v>
      </c>
      <c r="T86" s="13" t="str">
        <f t="shared" si="1"/>
        <v>Y</v>
      </c>
      <c r="U86" s="12" t="str">
        <f t="shared" si="2"/>
        <v>Y</v>
      </c>
      <c r="V86" s="12" t="s">
        <v>302</v>
      </c>
    </row>
    <row r="87" ht="12.75" customHeight="1">
      <c r="A87" s="7">
        <v>47416.0</v>
      </c>
      <c r="B87" s="8" t="s">
        <v>312</v>
      </c>
      <c r="C87" s="8" t="s">
        <v>313</v>
      </c>
      <c r="D87" s="9" t="s">
        <v>28</v>
      </c>
      <c r="E87" s="7">
        <v>8.0</v>
      </c>
      <c r="F87" s="8" t="s">
        <v>56</v>
      </c>
      <c r="G87" s="9" t="s">
        <v>28</v>
      </c>
      <c r="H87" s="9" t="s">
        <v>21</v>
      </c>
      <c r="I87" s="9" t="s">
        <v>25</v>
      </c>
      <c r="J87" s="10" t="str">
        <f>IFERROR(VLOOKUP(A87, Sheet1!$O$1:$V$156, 6, FALSE), "")</f>
        <v>Y</v>
      </c>
      <c r="K87" s="10" t="str">
        <f>IFERROR(VLOOKUP(A87, Sheet1!$O$1:$V$156, 7, FALSE), "")
</f>
        <v> </v>
      </c>
      <c r="O87" s="11">
        <v>46771.0</v>
      </c>
      <c r="P87" s="12" t="s">
        <v>316</v>
      </c>
      <c r="Q87" s="12" t="s">
        <v>317</v>
      </c>
      <c r="R87" s="12" t="s">
        <v>25</v>
      </c>
      <c r="S87" s="12" t="s">
        <v>72</v>
      </c>
      <c r="T87" s="13" t="str">
        <f t="shared" si="1"/>
        <v>Y</v>
      </c>
      <c r="U87" s="12" t="str">
        <f t="shared" si="2"/>
        <v>Y</v>
      </c>
      <c r="V87" s="12" t="s">
        <v>302</v>
      </c>
    </row>
    <row r="88" ht="12.75" customHeight="1">
      <c r="A88" s="7">
        <v>47363.0</v>
      </c>
      <c r="B88" s="8" t="s">
        <v>318</v>
      </c>
      <c r="C88" s="8" t="s">
        <v>319</v>
      </c>
      <c r="D88" s="9" t="s">
        <v>18</v>
      </c>
      <c r="E88" s="7">
        <v>7.0</v>
      </c>
      <c r="F88" s="8" t="s">
        <v>144</v>
      </c>
      <c r="G88" s="9" t="s">
        <v>28</v>
      </c>
      <c r="H88" s="9" t="s">
        <v>21</v>
      </c>
      <c r="I88" s="9" t="s">
        <v>22</v>
      </c>
      <c r="J88" s="10" t="str">
        <f>IFERROR(VLOOKUP(A88, Sheet1!$O$1:$V$156, 6, FALSE), "")</f>
        <v/>
      </c>
      <c r="K88" s="10" t="str">
        <f>IFERROR(VLOOKUP(A88, Sheet1!$O$1:$V$156, 7, FALSE), "")
</f>
        <v/>
      </c>
      <c r="O88" s="11">
        <v>46448.0</v>
      </c>
      <c r="P88" s="12" t="s">
        <v>320</v>
      </c>
      <c r="Q88" s="12" t="s">
        <v>321</v>
      </c>
      <c r="R88" s="12" t="s">
        <v>25</v>
      </c>
      <c r="T88" s="13" t="str">
        <f t="shared" si="1"/>
        <v> </v>
      </c>
      <c r="U88" s="12" t="str">
        <f t="shared" si="2"/>
        <v>Y</v>
      </c>
      <c r="V88" s="12" t="s">
        <v>302</v>
      </c>
    </row>
    <row r="89" ht="12.75" customHeight="1">
      <c r="A89" s="7">
        <v>47363.0</v>
      </c>
      <c r="B89" s="8" t="s">
        <v>318</v>
      </c>
      <c r="C89" s="8" t="s">
        <v>319</v>
      </c>
      <c r="D89" s="9" t="s">
        <v>18</v>
      </c>
      <c r="E89" s="7">
        <v>7.0</v>
      </c>
      <c r="F89" s="8" t="s">
        <v>95</v>
      </c>
      <c r="G89" s="9" t="s">
        <v>20</v>
      </c>
      <c r="H89" s="9" t="s">
        <v>21</v>
      </c>
      <c r="I89" s="9" t="s">
        <v>22</v>
      </c>
      <c r="J89" s="10" t="str">
        <f>IFERROR(VLOOKUP(A89, Sheet1!$O$1:$V$156, 6, FALSE), "")</f>
        <v/>
      </c>
      <c r="K89" s="10" t="str">
        <f>IFERROR(VLOOKUP(A89, Sheet1!$O$1:$V$156, 7, FALSE), "")
</f>
        <v/>
      </c>
      <c r="O89" s="11">
        <v>44417.0</v>
      </c>
      <c r="P89" s="12" t="s">
        <v>33</v>
      </c>
      <c r="Q89" s="12" t="s">
        <v>322</v>
      </c>
      <c r="R89" s="12" t="s">
        <v>25</v>
      </c>
      <c r="T89" s="13" t="str">
        <f t="shared" si="1"/>
        <v> </v>
      </c>
      <c r="U89" s="12" t="str">
        <f t="shared" si="2"/>
        <v>Y</v>
      </c>
      <c r="V89" s="12" t="s">
        <v>302</v>
      </c>
    </row>
    <row r="90" ht="12.75" customHeight="1">
      <c r="A90" s="7">
        <v>47363.0</v>
      </c>
      <c r="B90" s="8" t="s">
        <v>318</v>
      </c>
      <c r="C90" s="8" t="s">
        <v>319</v>
      </c>
      <c r="D90" s="9" t="s">
        <v>18</v>
      </c>
      <c r="E90" s="7">
        <v>7.0</v>
      </c>
      <c r="F90" s="8" t="s">
        <v>222</v>
      </c>
      <c r="G90" s="9" t="s">
        <v>28</v>
      </c>
      <c r="H90" s="9" t="s">
        <v>21</v>
      </c>
      <c r="I90" s="9" t="s">
        <v>22</v>
      </c>
      <c r="J90" s="10" t="str">
        <f>IFERROR(VLOOKUP(A90, Sheet1!$O$1:$V$156, 6, FALSE), "")</f>
        <v/>
      </c>
      <c r="K90" s="10" t="str">
        <f>IFERROR(VLOOKUP(A90, Sheet1!$O$1:$V$156, 7, FALSE), "")
</f>
        <v/>
      </c>
      <c r="O90" s="11">
        <v>46396.0</v>
      </c>
      <c r="P90" s="12" t="s">
        <v>323</v>
      </c>
      <c r="Q90" s="12" t="s">
        <v>324</v>
      </c>
      <c r="R90" s="12" t="s">
        <v>25</v>
      </c>
      <c r="S90" s="12" t="s">
        <v>254</v>
      </c>
      <c r="T90" s="13" t="str">
        <f t="shared" si="1"/>
        <v>Y</v>
      </c>
      <c r="U90" s="12" t="str">
        <f t="shared" si="2"/>
        <v>Y</v>
      </c>
      <c r="V90" s="12" t="s">
        <v>302</v>
      </c>
    </row>
    <row r="91" ht="12.75" customHeight="1">
      <c r="A91" s="7">
        <v>47486.0</v>
      </c>
      <c r="B91" s="8" t="s">
        <v>325</v>
      </c>
      <c r="C91" s="8" t="s">
        <v>288</v>
      </c>
      <c r="D91" s="9" t="s">
        <v>18</v>
      </c>
      <c r="E91" s="7">
        <v>8.0</v>
      </c>
      <c r="F91" s="8" t="s">
        <v>61</v>
      </c>
      <c r="G91" s="9" t="s">
        <v>57</v>
      </c>
      <c r="H91" s="9" t="s">
        <v>21</v>
      </c>
      <c r="I91" s="9" t="s">
        <v>22</v>
      </c>
      <c r="J91" s="10" t="str">
        <f>IFERROR(VLOOKUP(A91, Sheet1!$O$1:$V$156, 6, FALSE), "")</f>
        <v/>
      </c>
      <c r="K91" s="10" t="str">
        <f>IFERROR(VLOOKUP(A91, Sheet1!$O$1:$V$156, 7, FALSE), "")
</f>
        <v/>
      </c>
      <c r="O91" s="11">
        <v>46294.0</v>
      </c>
      <c r="P91" s="12" t="s">
        <v>136</v>
      </c>
      <c r="Q91" s="12" t="s">
        <v>326</v>
      </c>
      <c r="R91" s="12" t="s">
        <v>129</v>
      </c>
      <c r="T91" s="13" t="str">
        <f t="shared" si="1"/>
        <v> </v>
      </c>
      <c r="U91" s="12" t="str">
        <f t="shared" si="2"/>
        <v>Y</v>
      </c>
      <c r="V91" s="12" t="s">
        <v>302</v>
      </c>
    </row>
    <row r="92" ht="12.75" customHeight="1">
      <c r="A92" s="7">
        <v>43962.0</v>
      </c>
      <c r="B92" s="8" t="s">
        <v>327</v>
      </c>
      <c r="C92" s="8" t="s">
        <v>328</v>
      </c>
      <c r="D92" s="9" t="s">
        <v>18</v>
      </c>
      <c r="E92" s="7">
        <v>8.0</v>
      </c>
      <c r="F92" s="8" t="s">
        <v>61</v>
      </c>
      <c r="G92" s="9" t="s">
        <v>57</v>
      </c>
      <c r="H92" s="9" t="s">
        <v>21</v>
      </c>
      <c r="I92" s="9" t="s">
        <v>22</v>
      </c>
      <c r="J92" s="10" t="str">
        <f>IFERROR(VLOOKUP(A92, Sheet1!$O$1:$V$156, 6, FALSE), "")</f>
        <v>Y</v>
      </c>
      <c r="K92" s="10" t="str">
        <f>IFERROR(VLOOKUP(A92, Sheet1!$O$1:$V$156, 7, FALSE), "")
</f>
        <v> </v>
      </c>
      <c r="O92" s="11">
        <v>45162.0</v>
      </c>
      <c r="P92" s="12" t="s">
        <v>106</v>
      </c>
      <c r="Q92" s="12" t="s">
        <v>105</v>
      </c>
      <c r="R92" s="12" t="s">
        <v>25</v>
      </c>
      <c r="T92" s="13" t="str">
        <f t="shared" si="1"/>
        <v> </v>
      </c>
      <c r="U92" s="12" t="str">
        <f t="shared" si="2"/>
        <v>Y</v>
      </c>
      <c r="V92" s="12" t="s">
        <v>302</v>
      </c>
    </row>
    <row r="93" ht="12.75" customHeight="1">
      <c r="A93" s="7">
        <v>43962.0</v>
      </c>
      <c r="B93" s="8" t="s">
        <v>327</v>
      </c>
      <c r="C93" s="8" t="s">
        <v>328</v>
      </c>
      <c r="D93" s="9" t="s">
        <v>18</v>
      </c>
      <c r="E93" s="7">
        <v>8.0</v>
      </c>
      <c r="F93" s="8" t="s">
        <v>56</v>
      </c>
      <c r="G93" s="9" t="s">
        <v>118</v>
      </c>
      <c r="H93" s="9" t="s">
        <v>35</v>
      </c>
      <c r="I93" s="9" t="s">
        <v>22</v>
      </c>
      <c r="J93" s="10" t="str">
        <f>IFERROR(VLOOKUP(A93, Sheet1!$O$1:$V$156, 6, FALSE), "")</f>
        <v>Y</v>
      </c>
      <c r="K93" s="10" t="str">
        <f>IFERROR(VLOOKUP(A93, Sheet1!$O$1:$V$156, 7, FALSE), "")
</f>
        <v> </v>
      </c>
      <c r="O93" s="11">
        <v>47033.0</v>
      </c>
      <c r="P93" s="12" t="s">
        <v>329</v>
      </c>
      <c r="Q93" s="12" t="s">
        <v>330</v>
      </c>
      <c r="R93" s="12" t="s">
        <v>25</v>
      </c>
      <c r="T93" s="13" t="str">
        <f t="shared" si="1"/>
        <v> </v>
      </c>
      <c r="U93" s="12" t="str">
        <f t="shared" si="2"/>
        <v>Y</v>
      </c>
      <c r="V93" s="12" t="s">
        <v>302</v>
      </c>
    </row>
    <row r="94" ht="12.75" customHeight="1">
      <c r="A94" s="7">
        <v>43962.0</v>
      </c>
      <c r="B94" s="8" t="s">
        <v>327</v>
      </c>
      <c r="C94" s="8" t="s">
        <v>328</v>
      </c>
      <c r="D94" s="9" t="s">
        <v>18</v>
      </c>
      <c r="E94" s="7">
        <v>8.0</v>
      </c>
      <c r="F94" s="8" t="s">
        <v>331</v>
      </c>
      <c r="G94" s="9" t="s">
        <v>118</v>
      </c>
      <c r="H94" s="9" t="s">
        <v>35</v>
      </c>
      <c r="I94" s="9" t="s">
        <v>22</v>
      </c>
      <c r="J94" s="10" t="str">
        <f>IFERROR(VLOOKUP(A94, Sheet1!$O$1:$V$156, 6, FALSE), "")</f>
        <v>Y</v>
      </c>
      <c r="K94" s="10" t="str">
        <f>IFERROR(VLOOKUP(A94, Sheet1!$O$1:$V$156, 7, FALSE), "")
</f>
        <v> </v>
      </c>
      <c r="O94" s="11">
        <v>44570.0</v>
      </c>
      <c r="P94" s="12" t="s">
        <v>332</v>
      </c>
      <c r="Q94" s="12" t="s">
        <v>333</v>
      </c>
      <c r="R94" s="12" t="s">
        <v>22</v>
      </c>
      <c r="T94" s="13" t="str">
        <f t="shared" si="1"/>
        <v> </v>
      </c>
      <c r="U94" s="12" t="str">
        <f t="shared" si="2"/>
        <v>Y</v>
      </c>
      <c r="V94" s="12" t="s">
        <v>302</v>
      </c>
    </row>
    <row r="95" ht="12.75" customHeight="1">
      <c r="A95" s="7">
        <v>43962.0</v>
      </c>
      <c r="B95" s="8" t="s">
        <v>327</v>
      </c>
      <c r="C95" s="8" t="s">
        <v>328</v>
      </c>
      <c r="D95" s="9" t="s">
        <v>18</v>
      </c>
      <c r="E95" s="7">
        <v>8.0</v>
      </c>
      <c r="F95" s="8" t="s">
        <v>334</v>
      </c>
      <c r="G95" s="9" t="s">
        <v>34</v>
      </c>
      <c r="H95" s="9" t="s">
        <v>44</v>
      </c>
      <c r="I95" s="9" t="s">
        <v>22</v>
      </c>
      <c r="J95" s="10" t="str">
        <f>IFERROR(VLOOKUP(A95, Sheet1!$O$1:$V$156, 6, FALSE), "")</f>
        <v>Y</v>
      </c>
      <c r="K95" s="10" t="str">
        <f>IFERROR(VLOOKUP(A95, Sheet1!$O$1:$V$156, 7, FALSE), "")
</f>
        <v> </v>
      </c>
      <c r="O95" s="11">
        <v>47196.0</v>
      </c>
      <c r="P95" s="12" t="s">
        <v>335</v>
      </c>
      <c r="Q95" s="12" t="s">
        <v>205</v>
      </c>
      <c r="R95" s="12" t="s">
        <v>25</v>
      </c>
      <c r="T95" s="13" t="str">
        <f t="shared" si="1"/>
        <v> </v>
      </c>
      <c r="U95" s="12" t="str">
        <f t="shared" si="2"/>
        <v>Y</v>
      </c>
      <c r="V95" s="12" t="s">
        <v>302</v>
      </c>
    </row>
    <row r="96" ht="12.75" customHeight="1">
      <c r="A96" s="7">
        <v>44932.0</v>
      </c>
      <c r="B96" s="8" t="s">
        <v>46</v>
      </c>
      <c r="C96" s="8" t="s">
        <v>45</v>
      </c>
      <c r="D96" s="9" t="s">
        <v>18</v>
      </c>
      <c r="E96" s="7">
        <v>6.0</v>
      </c>
      <c r="F96" s="8" t="s">
        <v>174</v>
      </c>
      <c r="G96" s="9" t="s">
        <v>118</v>
      </c>
      <c r="H96" s="9" t="s">
        <v>35</v>
      </c>
      <c r="I96" s="9" t="s">
        <v>25</v>
      </c>
      <c r="J96" s="10" t="str">
        <f>IFERROR(VLOOKUP(A96, Sheet1!$O$1:$V$156, 6, FALSE), "")</f>
        <v>Y</v>
      </c>
      <c r="K96" s="10" t="str">
        <f>IFERROR(VLOOKUP(A96, Sheet1!$O$1:$V$156, 7, FALSE), "")
</f>
        <v>Y</v>
      </c>
      <c r="O96" s="11">
        <v>44863.0</v>
      </c>
      <c r="P96" s="12" t="s">
        <v>233</v>
      </c>
      <c r="Q96" s="12" t="s">
        <v>232</v>
      </c>
      <c r="R96" s="12" t="s">
        <v>22</v>
      </c>
      <c r="T96" s="13" t="str">
        <f t="shared" si="1"/>
        <v> </v>
      </c>
      <c r="U96" s="12" t="str">
        <f t="shared" si="2"/>
        <v>Y</v>
      </c>
      <c r="V96" s="12" t="s">
        <v>302</v>
      </c>
    </row>
    <row r="97" ht="12.75" customHeight="1">
      <c r="A97" s="7">
        <v>46481.0</v>
      </c>
      <c r="B97" s="8" t="s">
        <v>336</v>
      </c>
      <c r="C97" s="8" t="s">
        <v>206</v>
      </c>
      <c r="D97" s="9" t="s">
        <v>18</v>
      </c>
      <c r="E97" s="7">
        <v>7.0</v>
      </c>
      <c r="F97" s="8" t="s">
        <v>144</v>
      </c>
      <c r="G97" s="9" t="s">
        <v>57</v>
      </c>
      <c r="H97" s="9" t="s">
        <v>21</v>
      </c>
      <c r="I97" s="9" t="s">
        <v>28</v>
      </c>
      <c r="J97" s="10" t="str">
        <f>IFERROR(VLOOKUP(A97, Sheet1!$O$1:$V$156, 6, FALSE), "")</f>
        <v/>
      </c>
      <c r="K97" s="10" t="str">
        <f>IFERROR(VLOOKUP(A97, Sheet1!$O$1:$V$156, 7, FALSE), "")
</f>
        <v/>
      </c>
      <c r="O97" s="11">
        <v>47491.0</v>
      </c>
      <c r="P97" s="12" t="s">
        <v>337</v>
      </c>
      <c r="Q97" s="12" t="s">
        <v>24</v>
      </c>
      <c r="R97" s="12" t="s">
        <v>25</v>
      </c>
      <c r="T97" s="13" t="str">
        <f t="shared" si="1"/>
        <v> </v>
      </c>
      <c r="U97" s="12" t="str">
        <f t="shared" si="2"/>
        <v>Y</v>
      </c>
      <c r="V97" s="12" t="s">
        <v>302</v>
      </c>
    </row>
    <row r="98" ht="12.75" customHeight="1">
      <c r="A98" s="7">
        <v>46067.0</v>
      </c>
      <c r="B98" s="8" t="s">
        <v>338</v>
      </c>
      <c r="C98" s="8" t="s">
        <v>339</v>
      </c>
      <c r="D98" s="9" t="s">
        <v>28</v>
      </c>
      <c r="E98" s="7">
        <v>8.0</v>
      </c>
      <c r="F98" s="8" t="s">
        <v>56</v>
      </c>
      <c r="G98" s="9" t="s">
        <v>28</v>
      </c>
      <c r="H98" s="9" t="s">
        <v>21</v>
      </c>
      <c r="I98" s="9" t="s">
        <v>129</v>
      </c>
      <c r="J98" s="10" t="str">
        <f>IFERROR(VLOOKUP(A98, Sheet1!$O$1:$V$156, 6, FALSE), "")</f>
        <v/>
      </c>
      <c r="K98" s="10" t="str">
        <f>IFERROR(VLOOKUP(A98, Sheet1!$O$1:$V$156, 7, FALSE), "")
</f>
        <v/>
      </c>
      <c r="O98" s="11">
        <v>47489.0</v>
      </c>
      <c r="P98" s="12" t="s">
        <v>332</v>
      </c>
      <c r="Q98" s="12" t="s">
        <v>24</v>
      </c>
      <c r="R98" s="12" t="s">
        <v>25</v>
      </c>
      <c r="T98" s="13" t="str">
        <f t="shared" si="1"/>
        <v> </v>
      </c>
      <c r="U98" s="12" t="str">
        <f t="shared" si="2"/>
        <v>Y</v>
      </c>
      <c r="V98" s="12" t="s">
        <v>302</v>
      </c>
    </row>
    <row r="99" ht="12.75" customHeight="1">
      <c r="A99" s="7">
        <v>46067.0</v>
      </c>
      <c r="B99" s="8" t="s">
        <v>338</v>
      </c>
      <c r="C99" s="8" t="s">
        <v>339</v>
      </c>
      <c r="D99" s="9" t="s">
        <v>28</v>
      </c>
      <c r="E99" s="7">
        <v>8.0</v>
      </c>
      <c r="F99" s="8" t="s">
        <v>128</v>
      </c>
      <c r="G99" s="9" t="s">
        <v>28</v>
      </c>
      <c r="H99" s="9" t="s">
        <v>21</v>
      </c>
      <c r="I99" s="9" t="s">
        <v>129</v>
      </c>
      <c r="J99" s="10" t="str">
        <f>IFERROR(VLOOKUP(A99, Sheet1!$O$1:$V$156, 6, FALSE), "")</f>
        <v/>
      </c>
      <c r="K99" s="10" t="str">
        <f>IFERROR(VLOOKUP(A99, Sheet1!$O$1:$V$156, 7, FALSE), "")
</f>
        <v/>
      </c>
      <c r="O99" s="11">
        <v>46367.0</v>
      </c>
      <c r="P99" s="12" t="s">
        <v>340</v>
      </c>
      <c r="Q99" s="12" t="s">
        <v>259</v>
      </c>
      <c r="R99" s="12" t="s">
        <v>129</v>
      </c>
      <c r="T99" s="13" t="str">
        <f t="shared" si="1"/>
        <v> </v>
      </c>
      <c r="U99" s="12" t="str">
        <f t="shared" si="2"/>
        <v>Y</v>
      </c>
      <c r="V99" s="12" t="s">
        <v>302</v>
      </c>
    </row>
    <row r="100" ht="12.75" customHeight="1">
      <c r="A100" s="7">
        <v>46067.0</v>
      </c>
      <c r="B100" s="8" t="s">
        <v>338</v>
      </c>
      <c r="C100" s="8" t="s">
        <v>339</v>
      </c>
      <c r="D100" s="9" t="s">
        <v>28</v>
      </c>
      <c r="E100" s="7">
        <v>8.0</v>
      </c>
      <c r="F100" s="8" t="s">
        <v>48</v>
      </c>
      <c r="G100" s="9" t="s">
        <v>28</v>
      </c>
      <c r="H100" s="9" t="s">
        <v>21</v>
      </c>
      <c r="I100" s="9" t="s">
        <v>129</v>
      </c>
      <c r="J100" s="10" t="str">
        <f>IFERROR(VLOOKUP(A100, Sheet1!$O$1:$V$156, 6, FALSE), "")</f>
        <v/>
      </c>
      <c r="K100" s="10" t="str">
        <f>IFERROR(VLOOKUP(A100, Sheet1!$O$1:$V$156, 7, FALSE), "")
</f>
        <v/>
      </c>
      <c r="O100" s="11">
        <v>45193.0</v>
      </c>
      <c r="P100" s="12" t="s">
        <v>341</v>
      </c>
      <c r="Q100" s="12" t="s">
        <v>342</v>
      </c>
      <c r="R100" s="12" t="s">
        <v>28</v>
      </c>
      <c r="T100" s="13" t="str">
        <f t="shared" si="1"/>
        <v> </v>
      </c>
      <c r="U100" s="12" t="str">
        <f t="shared" si="2"/>
        <v>Y</v>
      </c>
      <c r="V100" s="12" t="s">
        <v>302</v>
      </c>
    </row>
    <row r="101" ht="12.75" customHeight="1">
      <c r="A101" s="7">
        <v>44473.0</v>
      </c>
      <c r="B101" s="8" t="s">
        <v>343</v>
      </c>
      <c r="C101" s="8" t="s">
        <v>344</v>
      </c>
      <c r="D101" s="9" t="s">
        <v>28</v>
      </c>
      <c r="E101" s="7">
        <v>7.0</v>
      </c>
      <c r="F101" s="8" t="s">
        <v>149</v>
      </c>
      <c r="G101" s="9" t="s">
        <v>113</v>
      </c>
      <c r="H101" s="9" t="s">
        <v>35</v>
      </c>
      <c r="I101" s="9" t="s">
        <v>25</v>
      </c>
      <c r="J101" s="10" t="str">
        <f>IFERROR(VLOOKUP(A101, Sheet1!$O$1:$V$156, 6, FALSE), "")</f>
        <v>Y</v>
      </c>
      <c r="K101" s="10" t="str">
        <f>IFERROR(VLOOKUP(A101, Sheet1!$O$1:$V$156, 7, FALSE), "")
</f>
        <v> </v>
      </c>
      <c r="O101" s="11">
        <v>46785.0</v>
      </c>
      <c r="P101" s="12" t="s">
        <v>345</v>
      </c>
      <c r="Q101" s="12" t="s">
        <v>338</v>
      </c>
      <c r="R101" s="12" t="s">
        <v>25</v>
      </c>
      <c r="T101" s="13" t="str">
        <f t="shared" si="1"/>
        <v> </v>
      </c>
      <c r="U101" s="12" t="str">
        <f t="shared" si="2"/>
        <v>Y</v>
      </c>
      <c r="V101" s="12" t="s">
        <v>302</v>
      </c>
    </row>
    <row r="102" ht="12.75" customHeight="1">
      <c r="A102" s="7">
        <v>44473.0</v>
      </c>
      <c r="B102" s="8" t="s">
        <v>343</v>
      </c>
      <c r="C102" s="8" t="s">
        <v>344</v>
      </c>
      <c r="D102" s="9" t="s">
        <v>28</v>
      </c>
      <c r="E102" s="7">
        <v>7.0</v>
      </c>
      <c r="F102" s="8" t="s">
        <v>144</v>
      </c>
      <c r="G102" s="9" t="s">
        <v>34</v>
      </c>
      <c r="H102" s="9" t="s">
        <v>35</v>
      </c>
      <c r="I102" s="9" t="s">
        <v>25</v>
      </c>
      <c r="J102" s="10" t="str">
        <f>IFERROR(VLOOKUP(A102, Sheet1!$O$1:$V$156, 6, FALSE), "")</f>
        <v>Y</v>
      </c>
      <c r="K102" s="10" t="str">
        <f>IFERROR(VLOOKUP(A102, Sheet1!$O$1:$V$156, 7, FALSE), "")
</f>
        <v> </v>
      </c>
      <c r="O102" s="11">
        <v>46786.0</v>
      </c>
      <c r="P102" s="12" t="s">
        <v>346</v>
      </c>
      <c r="Q102" s="12" t="s">
        <v>338</v>
      </c>
      <c r="R102" s="12" t="s">
        <v>25</v>
      </c>
      <c r="T102" s="13" t="str">
        <f t="shared" si="1"/>
        <v> </v>
      </c>
      <c r="U102" s="12" t="str">
        <f t="shared" si="2"/>
        <v>Y</v>
      </c>
      <c r="V102" s="12" t="s">
        <v>302</v>
      </c>
    </row>
    <row r="103" ht="12.75" customHeight="1">
      <c r="A103" s="7">
        <v>46050.0</v>
      </c>
      <c r="B103" s="8" t="s">
        <v>347</v>
      </c>
      <c r="C103" s="8" t="s">
        <v>348</v>
      </c>
      <c r="D103" s="9" t="s">
        <v>18</v>
      </c>
      <c r="E103" s="7">
        <v>8.0</v>
      </c>
      <c r="F103" s="8" t="s">
        <v>61</v>
      </c>
      <c r="G103" s="9" t="s">
        <v>28</v>
      </c>
      <c r="H103" s="9" t="s">
        <v>21</v>
      </c>
      <c r="I103" s="9" t="s">
        <v>22</v>
      </c>
      <c r="J103" s="10" t="str">
        <f>IFERROR(VLOOKUP(A103, Sheet1!$O$1:$V$156, 6, FALSE), "")</f>
        <v/>
      </c>
      <c r="K103" s="10" t="str">
        <f>IFERROR(VLOOKUP(A103, Sheet1!$O$1:$V$156, 7, FALSE), "")
</f>
        <v/>
      </c>
      <c r="O103" s="11">
        <v>44017.0</v>
      </c>
      <c r="P103" s="12" t="s">
        <v>349</v>
      </c>
      <c r="Q103" s="12" t="s">
        <v>350</v>
      </c>
      <c r="R103" s="12" t="s">
        <v>129</v>
      </c>
      <c r="T103" s="13" t="str">
        <f t="shared" si="1"/>
        <v> </v>
      </c>
      <c r="U103" s="12" t="str">
        <f t="shared" si="2"/>
        <v>Y</v>
      </c>
      <c r="V103" s="12" t="s">
        <v>302</v>
      </c>
    </row>
    <row r="104" ht="12.75" customHeight="1">
      <c r="A104" s="7">
        <v>46401.0</v>
      </c>
      <c r="B104" s="8" t="s">
        <v>351</v>
      </c>
      <c r="C104" s="8" t="s">
        <v>41</v>
      </c>
      <c r="D104" s="9" t="s">
        <v>18</v>
      </c>
      <c r="E104" s="7">
        <v>8.0</v>
      </c>
      <c r="F104" s="8" t="s">
        <v>61</v>
      </c>
      <c r="G104" s="9" t="s">
        <v>28</v>
      </c>
      <c r="H104" s="9" t="s">
        <v>21</v>
      </c>
      <c r="I104" s="9" t="s">
        <v>22</v>
      </c>
      <c r="J104" s="10" t="str">
        <f>IFERROR(VLOOKUP(A104, Sheet1!$O$1:$V$156, 6, FALSE), "")</f>
        <v/>
      </c>
      <c r="K104" s="10" t="str">
        <f>IFERROR(VLOOKUP(A104, Sheet1!$O$1:$V$156, 7, FALSE), "")
</f>
        <v/>
      </c>
      <c r="O104" s="11">
        <v>44096.0</v>
      </c>
      <c r="P104" s="12" t="s">
        <v>352</v>
      </c>
      <c r="Q104" s="12" t="s">
        <v>353</v>
      </c>
      <c r="R104" s="12" t="s">
        <v>25</v>
      </c>
      <c r="T104" s="13" t="str">
        <f t="shared" si="1"/>
        <v> </v>
      </c>
      <c r="U104" s="12" t="str">
        <f t="shared" si="2"/>
        <v>Y</v>
      </c>
      <c r="V104" s="12" t="s">
        <v>302</v>
      </c>
    </row>
    <row r="105" ht="12.75" customHeight="1">
      <c r="A105" s="7">
        <v>46401.0</v>
      </c>
      <c r="B105" s="8" t="s">
        <v>351</v>
      </c>
      <c r="C105" s="8" t="s">
        <v>41</v>
      </c>
      <c r="D105" s="9" t="s">
        <v>18</v>
      </c>
      <c r="E105" s="7">
        <v>8.0</v>
      </c>
      <c r="F105" s="8" t="s">
        <v>56</v>
      </c>
      <c r="G105" s="9" t="s">
        <v>57</v>
      </c>
      <c r="H105" s="9" t="s">
        <v>21</v>
      </c>
      <c r="I105" s="9" t="s">
        <v>22</v>
      </c>
      <c r="J105" s="10" t="str">
        <f>IFERROR(VLOOKUP(A105, Sheet1!$O$1:$V$156, 6, FALSE), "")</f>
        <v/>
      </c>
      <c r="K105" s="10" t="str">
        <f>IFERROR(VLOOKUP(A105, Sheet1!$O$1:$V$156, 7, FALSE), "")
</f>
        <v/>
      </c>
      <c r="O105" s="11">
        <v>44699.0</v>
      </c>
      <c r="P105" s="12" t="s">
        <v>354</v>
      </c>
      <c r="Q105" s="12" t="s">
        <v>355</v>
      </c>
      <c r="R105" s="12" t="s">
        <v>25</v>
      </c>
      <c r="T105" s="13" t="str">
        <f t="shared" si="1"/>
        <v> </v>
      </c>
      <c r="U105" s="12" t="str">
        <f t="shared" si="2"/>
        <v>Y</v>
      </c>
      <c r="V105" s="12" t="s">
        <v>302</v>
      </c>
    </row>
    <row r="106" ht="12.75" customHeight="1">
      <c r="A106" s="7">
        <v>46401.0</v>
      </c>
      <c r="B106" s="8" t="s">
        <v>351</v>
      </c>
      <c r="C106" s="8" t="s">
        <v>41</v>
      </c>
      <c r="D106" s="9" t="s">
        <v>18</v>
      </c>
      <c r="E106" s="7">
        <v>8.0</v>
      </c>
      <c r="F106" s="8" t="s">
        <v>48</v>
      </c>
      <c r="G106" s="9" t="s">
        <v>28</v>
      </c>
      <c r="H106" s="9" t="s">
        <v>21</v>
      </c>
      <c r="I106" s="9" t="s">
        <v>22</v>
      </c>
      <c r="J106" s="10" t="str">
        <f>IFERROR(VLOOKUP(A106, Sheet1!$O$1:$V$156, 6, FALSE), "")</f>
        <v/>
      </c>
      <c r="K106" s="10" t="str">
        <f>IFERROR(VLOOKUP(A106, Sheet1!$O$1:$V$156, 7, FALSE), "")
</f>
        <v/>
      </c>
      <c r="O106" s="11">
        <v>44852.0</v>
      </c>
      <c r="P106" s="12" t="s">
        <v>181</v>
      </c>
      <c r="Q106" s="12" t="s">
        <v>356</v>
      </c>
      <c r="R106" s="12" t="s">
        <v>28</v>
      </c>
      <c r="T106" s="13" t="str">
        <f t="shared" si="1"/>
        <v> </v>
      </c>
      <c r="U106" s="12" t="str">
        <f t="shared" si="2"/>
        <v>Y</v>
      </c>
      <c r="V106" s="12" t="s">
        <v>302</v>
      </c>
    </row>
    <row r="107" ht="12.75" customHeight="1">
      <c r="A107" s="7">
        <v>46401.0</v>
      </c>
      <c r="B107" s="8" t="s">
        <v>351</v>
      </c>
      <c r="C107" s="8" t="s">
        <v>41</v>
      </c>
      <c r="D107" s="9" t="s">
        <v>18</v>
      </c>
      <c r="E107" s="7">
        <v>8.0</v>
      </c>
      <c r="F107" s="8" t="s">
        <v>128</v>
      </c>
      <c r="G107" s="9" t="s">
        <v>20</v>
      </c>
      <c r="H107" s="9" t="s">
        <v>21</v>
      </c>
      <c r="I107" s="9" t="s">
        <v>22</v>
      </c>
      <c r="J107" s="10" t="str">
        <f>IFERROR(VLOOKUP(A107, Sheet1!$O$1:$V$156, 6, FALSE), "")</f>
        <v/>
      </c>
      <c r="K107" s="10" t="str">
        <f>IFERROR(VLOOKUP(A107, Sheet1!$O$1:$V$156, 7, FALSE), "")
</f>
        <v/>
      </c>
      <c r="O107" s="11">
        <v>46554.0</v>
      </c>
      <c r="P107" s="12" t="s">
        <v>357</v>
      </c>
      <c r="Q107" s="12" t="s">
        <v>354</v>
      </c>
      <c r="R107" s="12" t="s">
        <v>25</v>
      </c>
      <c r="T107" s="13" t="str">
        <f t="shared" si="1"/>
        <v> </v>
      </c>
      <c r="U107" s="12" t="str">
        <f t="shared" si="2"/>
        <v>Y</v>
      </c>
      <c r="V107" s="12" t="s">
        <v>302</v>
      </c>
    </row>
    <row r="108" ht="12.75" customHeight="1">
      <c r="A108" s="7">
        <v>46868.0</v>
      </c>
      <c r="B108" s="8" t="s">
        <v>282</v>
      </c>
      <c r="C108" s="8" t="s">
        <v>281</v>
      </c>
      <c r="D108" s="9" t="s">
        <v>28</v>
      </c>
      <c r="E108" s="7">
        <v>6.0</v>
      </c>
      <c r="F108" s="8" t="s">
        <v>27</v>
      </c>
      <c r="G108" s="9" t="s">
        <v>92</v>
      </c>
      <c r="H108" s="9" t="s">
        <v>21</v>
      </c>
      <c r="I108" s="9" t="s">
        <v>25</v>
      </c>
      <c r="J108" s="10" t="str">
        <f>IFERROR(VLOOKUP(A108, Sheet1!$O$1:$V$156, 6, FALSE), "")</f>
        <v> </v>
      </c>
      <c r="K108" s="10" t="str">
        <f>IFERROR(VLOOKUP(A108, Sheet1!$O$1:$V$156, 7, FALSE), "")
</f>
        <v>Y</v>
      </c>
      <c r="O108" s="11">
        <v>47506.0</v>
      </c>
      <c r="P108" s="12" t="s">
        <v>358</v>
      </c>
      <c r="Q108" s="12" t="s">
        <v>359</v>
      </c>
      <c r="R108" s="12" t="s">
        <v>129</v>
      </c>
      <c r="T108" s="13" t="str">
        <f t="shared" si="1"/>
        <v> </v>
      </c>
      <c r="U108" s="12" t="str">
        <f t="shared" si="2"/>
        <v>Y</v>
      </c>
      <c r="V108" s="12" t="s">
        <v>302</v>
      </c>
    </row>
    <row r="109" ht="12.75" customHeight="1">
      <c r="A109" s="7">
        <v>46479.0</v>
      </c>
      <c r="B109" s="8" t="s">
        <v>360</v>
      </c>
      <c r="C109" s="8" t="s">
        <v>361</v>
      </c>
      <c r="D109" s="9" t="s">
        <v>28</v>
      </c>
      <c r="E109" s="7">
        <v>6.0</v>
      </c>
      <c r="F109" s="8" t="s">
        <v>27</v>
      </c>
      <c r="G109" s="9" t="s">
        <v>92</v>
      </c>
      <c r="H109" s="9" t="s">
        <v>21</v>
      </c>
      <c r="I109" s="9" t="s">
        <v>25</v>
      </c>
      <c r="J109" s="10" t="str">
        <f>IFERROR(VLOOKUP(A109, Sheet1!$O$1:$V$156, 6, FALSE), "")</f>
        <v/>
      </c>
      <c r="K109" s="10" t="str">
        <f>IFERROR(VLOOKUP(A109, Sheet1!$O$1:$V$156, 7, FALSE), "")
</f>
        <v/>
      </c>
      <c r="O109" s="11">
        <v>45284.0</v>
      </c>
      <c r="P109" s="12" t="s">
        <v>362</v>
      </c>
      <c r="Q109" s="12" t="s">
        <v>363</v>
      </c>
      <c r="R109" s="12" t="s">
        <v>22</v>
      </c>
      <c r="T109" s="13" t="str">
        <f t="shared" si="1"/>
        <v> </v>
      </c>
      <c r="U109" s="12" t="str">
        <f t="shared" si="2"/>
        <v>Y</v>
      </c>
      <c r="V109" s="12" t="s">
        <v>302</v>
      </c>
    </row>
    <row r="110" ht="12.75" customHeight="1">
      <c r="A110" s="7">
        <v>46479.0</v>
      </c>
      <c r="B110" s="8" t="s">
        <v>360</v>
      </c>
      <c r="C110" s="8" t="s">
        <v>361</v>
      </c>
      <c r="D110" s="9" t="s">
        <v>28</v>
      </c>
      <c r="E110" s="7">
        <v>6.0</v>
      </c>
      <c r="F110" s="8" t="s">
        <v>207</v>
      </c>
      <c r="G110" s="9" t="s">
        <v>28</v>
      </c>
      <c r="H110" s="9" t="s">
        <v>21</v>
      </c>
      <c r="I110" s="9" t="s">
        <v>25</v>
      </c>
      <c r="J110" s="10" t="str">
        <f>IFERROR(VLOOKUP(A110, Sheet1!$O$1:$V$156, 6, FALSE), "")</f>
        <v/>
      </c>
      <c r="K110" s="10" t="str">
        <f>IFERROR(VLOOKUP(A110, Sheet1!$O$1:$V$156, 7, FALSE), "")
</f>
        <v/>
      </c>
      <c r="O110" s="11">
        <v>47176.0</v>
      </c>
      <c r="P110" s="12" t="s">
        <v>364</v>
      </c>
      <c r="Q110" s="12" t="s">
        <v>365</v>
      </c>
      <c r="R110" s="12" t="s">
        <v>25</v>
      </c>
      <c r="T110" s="13" t="str">
        <f t="shared" si="1"/>
        <v> </v>
      </c>
      <c r="U110" s="12" t="str">
        <f t="shared" si="2"/>
        <v>Y</v>
      </c>
      <c r="V110" s="12" t="s">
        <v>302</v>
      </c>
    </row>
    <row r="111" ht="12.75" customHeight="1">
      <c r="A111" s="7">
        <v>47184.0</v>
      </c>
      <c r="B111" s="8" t="s">
        <v>366</v>
      </c>
      <c r="C111" s="8" t="s">
        <v>87</v>
      </c>
      <c r="D111" s="9" t="s">
        <v>28</v>
      </c>
      <c r="E111" s="7">
        <v>7.0</v>
      </c>
      <c r="F111" s="8" t="s">
        <v>144</v>
      </c>
      <c r="G111" s="9" t="s">
        <v>20</v>
      </c>
      <c r="H111" s="9" t="s">
        <v>21</v>
      </c>
      <c r="I111" s="9" t="s">
        <v>25</v>
      </c>
      <c r="J111" s="10" t="str">
        <f>IFERROR(VLOOKUP(A111, Sheet1!$O$1:$V$156, 6, FALSE), "")</f>
        <v/>
      </c>
      <c r="K111" s="10" t="str">
        <f>IFERROR(VLOOKUP(A111, Sheet1!$O$1:$V$156, 7, FALSE), "")
</f>
        <v/>
      </c>
      <c r="O111" s="11">
        <v>45277.0</v>
      </c>
      <c r="P111" s="12" t="s">
        <v>367</v>
      </c>
      <c r="Q111" s="12" t="s">
        <v>368</v>
      </c>
      <c r="R111" s="12" t="s">
        <v>25</v>
      </c>
      <c r="T111" s="13" t="str">
        <f t="shared" si="1"/>
        <v> </v>
      </c>
      <c r="U111" s="12" t="str">
        <f t="shared" si="2"/>
        <v>Y</v>
      </c>
      <c r="V111" s="12" t="s">
        <v>302</v>
      </c>
    </row>
    <row r="112" ht="12.75" customHeight="1">
      <c r="A112" s="7">
        <v>47184.0</v>
      </c>
      <c r="B112" s="8" t="s">
        <v>366</v>
      </c>
      <c r="C112" s="8" t="s">
        <v>87</v>
      </c>
      <c r="D112" s="9" t="s">
        <v>28</v>
      </c>
      <c r="E112" s="7">
        <v>7.0</v>
      </c>
      <c r="F112" s="8" t="s">
        <v>95</v>
      </c>
      <c r="G112" s="9" t="s">
        <v>92</v>
      </c>
      <c r="H112" s="9" t="s">
        <v>21</v>
      </c>
      <c r="I112" s="9" t="s">
        <v>25</v>
      </c>
      <c r="J112" s="10" t="str">
        <f>IFERROR(VLOOKUP(A112, Sheet1!$O$1:$V$156, 6, FALSE), "")</f>
        <v/>
      </c>
      <c r="K112" s="10" t="str">
        <f>IFERROR(VLOOKUP(A112, Sheet1!$O$1:$V$156, 7, FALSE), "")
</f>
        <v/>
      </c>
      <c r="O112" s="11">
        <v>46071.0</v>
      </c>
      <c r="P112" s="12" t="s">
        <v>369</v>
      </c>
      <c r="Q112" s="12" t="s">
        <v>370</v>
      </c>
      <c r="R112" s="12" t="s">
        <v>25</v>
      </c>
      <c r="T112" s="13" t="str">
        <f t="shared" si="1"/>
        <v> </v>
      </c>
      <c r="U112" s="12" t="str">
        <f t="shared" si="2"/>
        <v>Y</v>
      </c>
      <c r="V112" s="12" t="s">
        <v>302</v>
      </c>
    </row>
    <row r="113" ht="12.75" customHeight="1">
      <c r="A113" s="7">
        <v>44904.0</v>
      </c>
      <c r="B113" s="8" t="s">
        <v>371</v>
      </c>
      <c r="C113" s="8" t="s">
        <v>372</v>
      </c>
      <c r="D113" s="9" t="s">
        <v>28</v>
      </c>
      <c r="E113" s="7">
        <v>6.0</v>
      </c>
      <c r="F113" s="8" t="s">
        <v>27</v>
      </c>
      <c r="G113" s="9" t="s">
        <v>28</v>
      </c>
      <c r="H113" s="9" t="s">
        <v>21</v>
      </c>
      <c r="I113" s="9" t="s">
        <v>25</v>
      </c>
      <c r="J113" s="10" t="str">
        <f>IFERROR(VLOOKUP(A113, Sheet1!$O$1:$V$156, 6, FALSE), "")</f>
        <v/>
      </c>
      <c r="K113" s="10" t="str">
        <f>IFERROR(VLOOKUP(A113, Sheet1!$O$1:$V$156, 7, FALSE), "")
</f>
        <v/>
      </c>
      <c r="O113" s="11">
        <v>44345.0</v>
      </c>
      <c r="P113" s="12" t="s">
        <v>373</v>
      </c>
      <c r="Q113" s="12" t="s">
        <v>374</v>
      </c>
      <c r="R113" s="12" t="s">
        <v>22</v>
      </c>
      <c r="T113" s="13" t="str">
        <f t="shared" si="1"/>
        <v> </v>
      </c>
      <c r="U113" s="12" t="str">
        <f t="shared" si="2"/>
        <v>Y</v>
      </c>
      <c r="V113" s="12" t="s">
        <v>302</v>
      </c>
    </row>
    <row r="114" ht="12.75" customHeight="1">
      <c r="A114" s="7">
        <v>44904.0</v>
      </c>
      <c r="B114" s="8" t="s">
        <v>371</v>
      </c>
      <c r="C114" s="8" t="s">
        <v>372</v>
      </c>
      <c r="D114" s="9" t="s">
        <v>28</v>
      </c>
      <c r="E114" s="7">
        <v>6.0</v>
      </c>
      <c r="F114" s="8" t="s">
        <v>85</v>
      </c>
      <c r="G114" s="9" t="s">
        <v>92</v>
      </c>
      <c r="H114" s="9" t="s">
        <v>21</v>
      </c>
      <c r="I114" s="9" t="s">
        <v>25</v>
      </c>
      <c r="J114" s="10" t="str">
        <f>IFERROR(VLOOKUP(A114, Sheet1!$O$1:$V$156, 6, FALSE), "")</f>
        <v/>
      </c>
      <c r="K114" s="10" t="str">
        <f>IFERROR(VLOOKUP(A114, Sheet1!$O$1:$V$156, 7, FALSE), "")
</f>
        <v/>
      </c>
      <c r="O114" s="11">
        <v>44307.0</v>
      </c>
      <c r="P114" s="12" t="s">
        <v>375</v>
      </c>
      <c r="Q114" s="12" t="s">
        <v>376</v>
      </c>
      <c r="R114" s="12" t="s">
        <v>25</v>
      </c>
      <c r="T114" s="13" t="str">
        <f t="shared" si="1"/>
        <v> </v>
      </c>
      <c r="U114" s="12" t="str">
        <f t="shared" si="2"/>
        <v>Y</v>
      </c>
      <c r="V114" s="12" t="s">
        <v>302</v>
      </c>
    </row>
    <row r="115" ht="12.75" customHeight="1">
      <c r="A115" s="7">
        <v>44759.0</v>
      </c>
      <c r="B115" s="8" t="s">
        <v>377</v>
      </c>
      <c r="C115" s="8" t="s">
        <v>378</v>
      </c>
      <c r="D115" s="9" t="s">
        <v>18</v>
      </c>
      <c r="E115" s="7">
        <v>7.0</v>
      </c>
      <c r="F115" s="8" t="s">
        <v>144</v>
      </c>
      <c r="G115" s="9" t="s">
        <v>28</v>
      </c>
      <c r="H115" s="9" t="s">
        <v>35</v>
      </c>
      <c r="I115" s="9" t="s">
        <v>25</v>
      </c>
      <c r="J115" s="10" t="str">
        <f>IFERROR(VLOOKUP(A115, Sheet1!$O$1:$V$156, 6, FALSE), "")</f>
        <v>Y</v>
      </c>
      <c r="K115" s="10" t="str">
        <f>IFERROR(VLOOKUP(A115, Sheet1!$O$1:$V$156, 7, FALSE), "")
</f>
        <v> </v>
      </c>
      <c r="O115" s="11">
        <v>46544.0</v>
      </c>
      <c r="P115" s="12" t="s">
        <v>379</v>
      </c>
      <c r="Q115" s="12" t="s">
        <v>380</v>
      </c>
      <c r="R115" s="12" t="s">
        <v>25</v>
      </c>
      <c r="T115" s="13" t="str">
        <f t="shared" si="1"/>
        <v> </v>
      </c>
      <c r="U115" s="12" t="str">
        <f t="shared" si="2"/>
        <v>Y</v>
      </c>
      <c r="V115" s="12" t="s">
        <v>381</v>
      </c>
    </row>
    <row r="116" ht="12.75" customHeight="1">
      <c r="A116" s="7">
        <v>44759.0</v>
      </c>
      <c r="B116" s="8" t="s">
        <v>377</v>
      </c>
      <c r="C116" s="8" t="s">
        <v>378</v>
      </c>
      <c r="D116" s="9" t="s">
        <v>18</v>
      </c>
      <c r="E116" s="7">
        <v>7.0</v>
      </c>
      <c r="F116" s="8" t="s">
        <v>149</v>
      </c>
      <c r="G116" s="9" t="s">
        <v>20</v>
      </c>
      <c r="H116" s="9" t="s">
        <v>35</v>
      </c>
      <c r="I116" s="9" t="s">
        <v>25</v>
      </c>
      <c r="J116" s="10" t="str">
        <f>IFERROR(VLOOKUP(A116, Sheet1!$O$1:$V$156, 6, FALSE), "")</f>
        <v>Y</v>
      </c>
      <c r="K116" s="10" t="str">
        <f>IFERROR(VLOOKUP(A116, Sheet1!$O$1:$V$156, 7, FALSE), "")
</f>
        <v> </v>
      </c>
      <c r="O116" s="11">
        <v>45403.0</v>
      </c>
      <c r="P116" s="12" t="s">
        <v>382</v>
      </c>
      <c r="Q116" s="12" t="s">
        <v>383</v>
      </c>
      <c r="R116" s="12" t="s">
        <v>22</v>
      </c>
      <c r="T116" s="13" t="str">
        <f t="shared" si="1"/>
        <v> </v>
      </c>
      <c r="U116" s="12" t="str">
        <f t="shared" si="2"/>
        <v>Y</v>
      </c>
      <c r="V116" s="12" t="s">
        <v>381</v>
      </c>
    </row>
    <row r="117" ht="12.75" customHeight="1">
      <c r="A117" s="7">
        <v>44759.0</v>
      </c>
      <c r="B117" s="8" t="s">
        <v>377</v>
      </c>
      <c r="C117" s="8" t="s">
        <v>378</v>
      </c>
      <c r="D117" s="9" t="s">
        <v>18</v>
      </c>
      <c r="E117" s="7">
        <v>7.0</v>
      </c>
      <c r="F117" s="8" t="s">
        <v>222</v>
      </c>
      <c r="G117" s="9" t="s">
        <v>28</v>
      </c>
      <c r="H117" s="9" t="s">
        <v>21</v>
      </c>
      <c r="I117" s="9" t="s">
        <v>25</v>
      </c>
      <c r="J117" s="10" t="str">
        <f>IFERROR(VLOOKUP(A117, Sheet1!$O$1:$V$156, 6, FALSE), "")</f>
        <v>Y</v>
      </c>
      <c r="K117" s="10" t="str">
        <f>IFERROR(VLOOKUP(A117, Sheet1!$O$1:$V$156, 7, FALSE), "")
</f>
        <v> </v>
      </c>
      <c r="O117" s="11">
        <v>45404.0</v>
      </c>
      <c r="P117" s="12" t="s">
        <v>384</v>
      </c>
      <c r="Q117" s="12" t="s">
        <v>385</v>
      </c>
      <c r="R117" s="12" t="s">
        <v>25</v>
      </c>
      <c r="S117" s="12" t="s">
        <v>386</v>
      </c>
      <c r="T117" s="13" t="str">
        <f t="shared" si="1"/>
        <v>Y</v>
      </c>
      <c r="U117" s="12" t="str">
        <f t="shared" si="2"/>
        <v>Y</v>
      </c>
      <c r="V117" s="12" t="s">
        <v>381</v>
      </c>
    </row>
    <row r="118" ht="12.75" customHeight="1">
      <c r="A118" s="7">
        <v>44759.0</v>
      </c>
      <c r="B118" s="8" t="s">
        <v>377</v>
      </c>
      <c r="C118" s="8" t="s">
        <v>378</v>
      </c>
      <c r="D118" s="9" t="s">
        <v>18</v>
      </c>
      <c r="E118" s="7">
        <v>7.0</v>
      </c>
      <c r="F118" s="8" t="s">
        <v>95</v>
      </c>
      <c r="G118" s="9" t="s">
        <v>20</v>
      </c>
      <c r="H118" s="9" t="s">
        <v>21</v>
      </c>
      <c r="I118" s="9" t="s">
        <v>25</v>
      </c>
      <c r="J118" s="10" t="str">
        <f>IFERROR(VLOOKUP(A118, Sheet1!$O$1:$V$156, 6, FALSE), "")</f>
        <v>Y</v>
      </c>
      <c r="K118" s="10" t="str">
        <f>IFERROR(VLOOKUP(A118, Sheet1!$O$1:$V$156, 7, FALSE), "")
</f>
        <v> </v>
      </c>
      <c r="O118" s="11">
        <v>47371.0</v>
      </c>
      <c r="P118" s="12" t="s">
        <v>387</v>
      </c>
      <c r="Q118" s="12" t="s">
        <v>388</v>
      </c>
      <c r="R118" s="12" t="s">
        <v>25</v>
      </c>
      <c r="T118" s="13" t="str">
        <f t="shared" si="1"/>
        <v> </v>
      </c>
      <c r="U118" s="12" t="str">
        <f t="shared" si="2"/>
        <v>Y</v>
      </c>
      <c r="V118" s="12" t="s">
        <v>381</v>
      </c>
    </row>
    <row r="119" ht="12.75" customHeight="1">
      <c r="A119" s="7">
        <v>46397.0</v>
      </c>
      <c r="B119" s="8" t="s">
        <v>389</v>
      </c>
      <c r="C119" s="8" t="s">
        <v>390</v>
      </c>
      <c r="D119" s="9" t="s">
        <v>18</v>
      </c>
      <c r="E119" s="7">
        <v>6.0</v>
      </c>
      <c r="F119" s="8" t="s">
        <v>185</v>
      </c>
      <c r="G119" s="9" t="s">
        <v>186</v>
      </c>
      <c r="H119" s="9" t="s">
        <v>44</v>
      </c>
      <c r="I119" s="9" t="s">
        <v>129</v>
      </c>
      <c r="J119" s="10" t="str">
        <f>IFERROR(VLOOKUP(A119, Sheet1!$O$1:$V$156, 6, FALSE), "")</f>
        <v/>
      </c>
      <c r="K119" s="10" t="str">
        <f>IFERROR(VLOOKUP(A119, Sheet1!$O$1:$V$156, 7, FALSE), "")
</f>
        <v/>
      </c>
      <c r="O119" s="11">
        <v>44178.0</v>
      </c>
      <c r="P119" s="12" t="s">
        <v>45</v>
      </c>
      <c r="Q119" s="12" t="s">
        <v>391</v>
      </c>
      <c r="R119" s="12" t="s">
        <v>25</v>
      </c>
      <c r="S119" s="12" t="s">
        <v>392</v>
      </c>
      <c r="T119" s="13" t="str">
        <f t="shared" si="1"/>
        <v>Y</v>
      </c>
      <c r="U119" s="12" t="str">
        <f t="shared" si="2"/>
        <v> </v>
      </c>
    </row>
    <row r="120" ht="12.75" customHeight="1">
      <c r="A120" s="7">
        <v>46397.0</v>
      </c>
      <c r="B120" s="8" t="s">
        <v>389</v>
      </c>
      <c r="C120" s="8" t="s">
        <v>390</v>
      </c>
      <c r="D120" s="9" t="s">
        <v>18</v>
      </c>
      <c r="E120" s="7">
        <v>6.0</v>
      </c>
      <c r="F120" s="8" t="s">
        <v>27</v>
      </c>
      <c r="G120" s="9" t="s">
        <v>92</v>
      </c>
      <c r="H120" s="9" t="s">
        <v>21</v>
      </c>
      <c r="I120" s="9" t="s">
        <v>129</v>
      </c>
      <c r="J120" s="10" t="str">
        <f>IFERROR(VLOOKUP(A120, Sheet1!$O$1:$V$156, 6, FALSE), "")</f>
        <v/>
      </c>
      <c r="K120" s="10" t="str">
        <f>IFERROR(VLOOKUP(A120, Sheet1!$O$1:$V$156, 7, FALSE), "")
</f>
        <v/>
      </c>
      <c r="O120" s="11">
        <v>44998.0</v>
      </c>
      <c r="P120" s="12" t="s">
        <v>291</v>
      </c>
      <c r="Q120" s="12" t="s">
        <v>290</v>
      </c>
      <c r="R120" s="12" t="s">
        <v>28</v>
      </c>
      <c r="S120" s="12" t="s">
        <v>393</v>
      </c>
      <c r="T120" s="13" t="str">
        <f t="shared" si="1"/>
        <v>Y</v>
      </c>
      <c r="U120" s="12" t="str">
        <f t="shared" si="2"/>
        <v> </v>
      </c>
    </row>
    <row r="121" ht="12.75" customHeight="1">
      <c r="A121" s="7">
        <v>46703.0</v>
      </c>
      <c r="B121" s="8" t="s">
        <v>394</v>
      </c>
      <c r="C121" s="8" t="s">
        <v>395</v>
      </c>
      <c r="D121" s="9" t="s">
        <v>28</v>
      </c>
      <c r="E121" s="7">
        <v>7.0</v>
      </c>
      <c r="F121" s="8" t="s">
        <v>144</v>
      </c>
      <c r="G121" s="9" t="s">
        <v>28</v>
      </c>
      <c r="H121" s="9" t="s">
        <v>21</v>
      </c>
      <c r="I121" s="9" t="s">
        <v>22</v>
      </c>
      <c r="J121" s="10" t="str">
        <f>IFERROR(VLOOKUP(A121, Sheet1!$O$1:$V$156, 6, FALSE), "")</f>
        <v/>
      </c>
      <c r="K121" s="10" t="str">
        <f>IFERROR(VLOOKUP(A121, Sheet1!$O$1:$V$156, 7, FALSE), "")
</f>
        <v/>
      </c>
      <c r="O121" s="11">
        <v>45681.0</v>
      </c>
      <c r="P121" s="12" t="s">
        <v>396</v>
      </c>
      <c r="Q121" s="12" t="s">
        <v>397</v>
      </c>
      <c r="R121" s="12" t="s">
        <v>25</v>
      </c>
      <c r="S121" s="12" t="s">
        <v>398</v>
      </c>
      <c r="T121" s="13" t="str">
        <f t="shared" si="1"/>
        <v>Y</v>
      </c>
      <c r="U121" s="12" t="str">
        <f t="shared" si="2"/>
        <v> </v>
      </c>
    </row>
    <row r="122" ht="12.75" customHeight="1">
      <c r="A122" s="7">
        <v>44703.0</v>
      </c>
      <c r="B122" s="8" t="s">
        <v>198</v>
      </c>
      <c r="C122" s="8" t="s">
        <v>197</v>
      </c>
      <c r="D122" s="9" t="s">
        <v>18</v>
      </c>
      <c r="E122" s="7">
        <v>7.0</v>
      </c>
      <c r="F122" s="8" t="s">
        <v>149</v>
      </c>
      <c r="G122" s="9" t="s">
        <v>86</v>
      </c>
      <c r="H122" s="9" t="s">
        <v>35</v>
      </c>
      <c r="I122" s="9" t="s">
        <v>25</v>
      </c>
      <c r="J122" s="10" t="str">
        <f>IFERROR(VLOOKUP(A122, Sheet1!$O$1:$V$156, 6, FALSE), "")</f>
        <v> </v>
      </c>
      <c r="K122" s="10" t="str">
        <f>IFERROR(VLOOKUP(A122, Sheet1!$O$1:$V$156, 7, FALSE), "")
</f>
        <v>Y</v>
      </c>
      <c r="O122" s="11">
        <v>45039.0</v>
      </c>
      <c r="P122" s="12" t="s">
        <v>399</v>
      </c>
      <c r="Q122" s="12" t="s">
        <v>400</v>
      </c>
      <c r="R122" s="12" t="s">
        <v>25</v>
      </c>
      <c r="S122" s="12" t="s">
        <v>401</v>
      </c>
      <c r="T122" s="13" t="str">
        <f t="shared" si="1"/>
        <v>Y</v>
      </c>
      <c r="U122" s="12" t="str">
        <f t="shared" si="2"/>
        <v> </v>
      </c>
    </row>
    <row r="123" ht="12.75" customHeight="1">
      <c r="A123" s="7">
        <v>44703.0</v>
      </c>
      <c r="B123" s="8" t="s">
        <v>198</v>
      </c>
      <c r="C123" s="8" t="s">
        <v>197</v>
      </c>
      <c r="D123" s="9" t="s">
        <v>18</v>
      </c>
      <c r="E123" s="7">
        <v>7.0</v>
      </c>
      <c r="F123" s="8" t="s">
        <v>144</v>
      </c>
      <c r="G123" s="9" t="s">
        <v>191</v>
      </c>
      <c r="H123" s="9" t="s">
        <v>35</v>
      </c>
      <c r="I123" s="9" t="s">
        <v>25</v>
      </c>
      <c r="J123" s="10" t="str">
        <f>IFERROR(VLOOKUP(A123, Sheet1!$O$1:$V$156, 6, FALSE), "")</f>
        <v> </v>
      </c>
      <c r="K123" s="10" t="str">
        <f>IFERROR(VLOOKUP(A123, Sheet1!$O$1:$V$156, 7, FALSE), "")
</f>
        <v>Y</v>
      </c>
      <c r="O123" s="11">
        <v>46887.0</v>
      </c>
      <c r="P123" s="12" t="s">
        <v>263</v>
      </c>
      <c r="Q123" s="12" t="s">
        <v>402</v>
      </c>
      <c r="R123" s="12" t="s">
        <v>25</v>
      </c>
      <c r="S123" s="12" t="s">
        <v>60</v>
      </c>
      <c r="T123" s="13" t="str">
        <f t="shared" si="1"/>
        <v>Y</v>
      </c>
      <c r="U123" s="12" t="str">
        <f t="shared" si="2"/>
        <v> </v>
      </c>
    </row>
    <row r="124" ht="12.75" customHeight="1">
      <c r="A124" s="7">
        <v>45265.0</v>
      </c>
      <c r="B124" s="8" t="s">
        <v>403</v>
      </c>
      <c r="C124" s="8" t="s">
        <v>210</v>
      </c>
      <c r="D124" s="9" t="s">
        <v>18</v>
      </c>
      <c r="E124" s="7">
        <v>6.0</v>
      </c>
      <c r="F124" s="8" t="s">
        <v>85</v>
      </c>
      <c r="G124" s="9" t="s">
        <v>186</v>
      </c>
      <c r="H124" s="9" t="s">
        <v>35</v>
      </c>
      <c r="I124" s="9" t="s">
        <v>129</v>
      </c>
      <c r="J124" s="10" t="str">
        <f>IFERROR(VLOOKUP(A124, Sheet1!$O$1:$V$156, 6, FALSE), "")</f>
        <v/>
      </c>
      <c r="K124" s="10" t="str">
        <f>IFERROR(VLOOKUP(A124, Sheet1!$O$1:$V$156, 7, FALSE), "")
</f>
        <v/>
      </c>
      <c r="O124" s="11">
        <v>44728.0</v>
      </c>
      <c r="P124" s="12" t="s">
        <v>93</v>
      </c>
      <c r="Q124" s="12" t="s">
        <v>404</v>
      </c>
      <c r="R124" s="12" t="s">
        <v>25</v>
      </c>
      <c r="S124" s="12" t="s">
        <v>47</v>
      </c>
      <c r="T124" s="13" t="str">
        <f t="shared" si="1"/>
        <v>Y</v>
      </c>
      <c r="U124" s="12" t="str">
        <f t="shared" si="2"/>
        <v> </v>
      </c>
    </row>
    <row r="125" ht="12.75" customHeight="1">
      <c r="A125" s="7">
        <v>47202.0</v>
      </c>
      <c r="B125" s="8" t="s">
        <v>405</v>
      </c>
      <c r="C125" s="8" t="s">
        <v>406</v>
      </c>
      <c r="D125" s="9" t="s">
        <v>18</v>
      </c>
      <c r="E125" s="7">
        <v>7.0</v>
      </c>
      <c r="F125" s="8" t="s">
        <v>95</v>
      </c>
      <c r="G125" s="9" t="s">
        <v>57</v>
      </c>
      <c r="H125" s="9" t="s">
        <v>21</v>
      </c>
      <c r="I125" s="9" t="s">
        <v>129</v>
      </c>
      <c r="J125" s="10" t="str">
        <f>IFERROR(VLOOKUP(A125, Sheet1!$O$1:$V$156, 6, FALSE), "")</f>
        <v/>
      </c>
      <c r="K125" s="10" t="str">
        <f>IFERROR(VLOOKUP(A125, Sheet1!$O$1:$V$156, 7, FALSE), "")
</f>
        <v/>
      </c>
      <c r="O125" s="11">
        <v>47063.0</v>
      </c>
      <c r="P125" s="12" t="s">
        <v>407</v>
      </c>
      <c r="Q125" s="12" t="s">
        <v>294</v>
      </c>
      <c r="R125" s="12" t="s">
        <v>25</v>
      </c>
      <c r="S125" s="12" t="s">
        <v>47</v>
      </c>
      <c r="T125" s="13" t="str">
        <f t="shared" si="1"/>
        <v>Y</v>
      </c>
      <c r="U125" s="12" t="str">
        <f t="shared" si="2"/>
        <v> </v>
      </c>
    </row>
    <row r="126" ht="12.75" customHeight="1">
      <c r="A126" s="7">
        <v>47199.0</v>
      </c>
      <c r="B126" s="8" t="s">
        <v>405</v>
      </c>
      <c r="C126" s="8" t="s">
        <v>408</v>
      </c>
      <c r="D126" s="9" t="s">
        <v>18</v>
      </c>
      <c r="E126" s="7">
        <v>6.0</v>
      </c>
      <c r="F126" s="8" t="s">
        <v>19</v>
      </c>
      <c r="G126" s="9" t="s">
        <v>43</v>
      </c>
      <c r="H126" s="9" t="s">
        <v>35</v>
      </c>
      <c r="I126" s="9" t="s">
        <v>129</v>
      </c>
      <c r="J126" s="10" t="str">
        <f>IFERROR(VLOOKUP(A126, Sheet1!$O$1:$V$156, 6, FALSE), "")</f>
        <v/>
      </c>
      <c r="K126" s="10" t="str">
        <f>IFERROR(VLOOKUP(A126, Sheet1!$O$1:$V$156, 7, FALSE), "")
</f>
        <v/>
      </c>
      <c r="O126" s="11">
        <v>44792.0</v>
      </c>
      <c r="P126" s="12" t="s">
        <v>409</v>
      </c>
      <c r="Q126" s="12" t="s">
        <v>410</v>
      </c>
      <c r="R126" s="12" t="s">
        <v>25</v>
      </c>
      <c r="S126" s="12" t="s">
        <v>47</v>
      </c>
      <c r="T126" s="13" t="str">
        <f t="shared" si="1"/>
        <v>Y</v>
      </c>
      <c r="U126" s="12" t="str">
        <f t="shared" si="2"/>
        <v> </v>
      </c>
    </row>
    <row r="127" ht="12.75" customHeight="1">
      <c r="A127" s="7">
        <v>47199.0</v>
      </c>
      <c r="B127" s="8" t="s">
        <v>405</v>
      </c>
      <c r="C127" s="8" t="s">
        <v>408</v>
      </c>
      <c r="D127" s="9" t="s">
        <v>18</v>
      </c>
      <c r="E127" s="7">
        <v>6.0</v>
      </c>
      <c r="F127" s="8" t="s">
        <v>85</v>
      </c>
      <c r="G127" s="9" t="s">
        <v>43</v>
      </c>
      <c r="H127" s="9" t="s">
        <v>35</v>
      </c>
      <c r="I127" s="9" t="s">
        <v>129</v>
      </c>
      <c r="J127" s="10" t="str">
        <f>IFERROR(VLOOKUP(A127, Sheet1!$O$1:$V$156, 6, FALSE), "")</f>
        <v/>
      </c>
      <c r="K127" s="10" t="str">
        <f>IFERROR(VLOOKUP(A127, Sheet1!$O$1:$V$156, 7, FALSE), "")
</f>
        <v/>
      </c>
      <c r="O127" s="11">
        <v>46571.0</v>
      </c>
      <c r="P127" s="12" t="s">
        <v>411</v>
      </c>
      <c r="Q127" s="12" t="s">
        <v>412</v>
      </c>
      <c r="R127" s="12" t="s">
        <v>25</v>
      </c>
      <c r="S127" s="12" t="s">
        <v>47</v>
      </c>
      <c r="T127" s="13" t="str">
        <f t="shared" si="1"/>
        <v>Y</v>
      </c>
      <c r="U127" s="12" t="str">
        <f t="shared" si="2"/>
        <v> </v>
      </c>
    </row>
    <row r="128" ht="12.75" customHeight="1">
      <c r="A128" s="7">
        <v>45435.0</v>
      </c>
      <c r="B128" s="8" t="s">
        <v>200</v>
      </c>
      <c r="C128" s="8" t="s">
        <v>199</v>
      </c>
      <c r="D128" s="9" t="s">
        <v>18</v>
      </c>
      <c r="E128" s="7">
        <v>6.0</v>
      </c>
      <c r="F128" s="8" t="s">
        <v>107</v>
      </c>
      <c r="G128" s="9" t="s">
        <v>20</v>
      </c>
      <c r="H128" s="9" t="s">
        <v>21</v>
      </c>
      <c r="I128" s="9" t="s">
        <v>129</v>
      </c>
      <c r="J128" s="10" t="str">
        <f>IFERROR(VLOOKUP(A128, Sheet1!$O$1:$V$156, 6, FALSE), "")</f>
        <v> </v>
      </c>
      <c r="K128" s="10" t="str">
        <f>IFERROR(VLOOKUP(A128, Sheet1!$O$1:$V$156, 7, FALSE), "")
</f>
        <v>Y</v>
      </c>
      <c r="O128" s="11">
        <v>44340.0</v>
      </c>
      <c r="P128" s="12" t="s">
        <v>413</v>
      </c>
      <c r="Q128" s="12" t="s">
        <v>414</v>
      </c>
      <c r="R128" s="12" t="s">
        <v>25</v>
      </c>
      <c r="S128" s="12" t="s">
        <v>249</v>
      </c>
      <c r="T128" s="13" t="str">
        <f t="shared" si="1"/>
        <v>Y</v>
      </c>
      <c r="U128" s="12" t="str">
        <f t="shared" si="2"/>
        <v> </v>
      </c>
    </row>
    <row r="129" ht="12.75" customHeight="1">
      <c r="A129" s="7">
        <v>45435.0</v>
      </c>
      <c r="B129" s="8" t="s">
        <v>200</v>
      </c>
      <c r="C129" s="8" t="s">
        <v>199</v>
      </c>
      <c r="D129" s="9" t="s">
        <v>18</v>
      </c>
      <c r="E129" s="7">
        <v>6.0</v>
      </c>
      <c r="F129" s="8" t="s">
        <v>27</v>
      </c>
      <c r="G129" s="9" t="s">
        <v>28</v>
      </c>
      <c r="H129" s="9" t="s">
        <v>21</v>
      </c>
      <c r="I129" s="9" t="s">
        <v>129</v>
      </c>
      <c r="J129" s="10" t="str">
        <f>IFERROR(VLOOKUP(A129, Sheet1!$O$1:$V$156, 6, FALSE), "")</f>
        <v> </v>
      </c>
      <c r="K129" s="10" t="str">
        <f>IFERROR(VLOOKUP(A129, Sheet1!$O$1:$V$156, 7, FALSE), "")
</f>
        <v>Y</v>
      </c>
      <c r="O129" s="11">
        <v>44352.0</v>
      </c>
      <c r="P129" s="12" t="s">
        <v>415</v>
      </c>
      <c r="Q129" s="12" t="s">
        <v>235</v>
      </c>
      <c r="R129" s="12" t="s">
        <v>25</v>
      </c>
      <c r="S129" s="12" t="s">
        <v>249</v>
      </c>
      <c r="T129" s="13" t="str">
        <f t="shared" si="1"/>
        <v>Y</v>
      </c>
      <c r="U129" s="12" t="str">
        <f t="shared" si="2"/>
        <v> </v>
      </c>
    </row>
    <row r="130" ht="12.75" customHeight="1">
      <c r="A130" s="7">
        <v>44965.0</v>
      </c>
      <c r="B130" s="8" t="s">
        <v>416</v>
      </c>
      <c r="C130" s="8" t="s">
        <v>417</v>
      </c>
      <c r="D130" s="9" t="s">
        <v>28</v>
      </c>
      <c r="E130" s="7">
        <v>8.0</v>
      </c>
      <c r="F130" s="8" t="s">
        <v>61</v>
      </c>
      <c r="G130" s="9" t="s">
        <v>28</v>
      </c>
      <c r="H130" s="9" t="s">
        <v>21</v>
      </c>
      <c r="I130" s="9" t="s">
        <v>22</v>
      </c>
      <c r="J130" s="10" t="str">
        <f>IFERROR(VLOOKUP(A130, Sheet1!$O$1:$V$156, 6, FALSE), "")</f>
        <v/>
      </c>
      <c r="K130" s="10" t="str">
        <f>IFERROR(VLOOKUP(A130, Sheet1!$O$1:$V$156, 7, FALSE), "")
</f>
        <v/>
      </c>
      <c r="O130" s="11">
        <v>44360.0</v>
      </c>
      <c r="P130" s="12" t="s">
        <v>418</v>
      </c>
      <c r="Q130" s="12" t="s">
        <v>419</v>
      </c>
      <c r="R130" s="12" t="s">
        <v>25</v>
      </c>
      <c r="S130" s="12" t="s">
        <v>249</v>
      </c>
      <c r="T130" s="13" t="str">
        <f t="shared" si="1"/>
        <v>Y</v>
      </c>
      <c r="U130" s="12" t="str">
        <f t="shared" si="2"/>
        <v> </v>
      </c>
    </row>
    <row r="131" ht="12.75" customHeight="1">
      <c r="A131" s="7">
        <v>44965.0</v>
      </c>
      <c r="B131" s="8" t="s">
        <v>416</v>
      </c>
      <c r="C131" s="8" t="s">
        <v>417</v>
      </c>
      <c r="D131" s="9" t="s">
        <v>28</v>
      </c>
      <c r="E131" s="7">
        <v>8.0</v>
      </c>
      <c r="F131" s="8" t="s">
        <v>69</v>
      </c>
      <c r="G131" s="9" t="s">
        <v>34</v>
      </c>
      <c r="H131" s="9" t="s">
        <v>35</v>
      </c>
      <c r="I131" s="9" t="s">
        <v>22</v>
      </c>
      <c r="J131" s="10" t="str">
        <f>IFERROR(VLOOKUP(A131, Sheet1!$O$1:$V$156, 6, FALSE), "")</f>
        <v/>
      </c>
      <c r="K131" s="10" t="str">
        <f>IFERROR(VLOOKUP(A131, Sheet1!$O$1:$V$156, 7, FALSE), "")
</f>
        <v/>
      </c>
      <c r="O131" s="11">
        <v>44097.0</v>
      </c>
      <c r="P131" s="12" t="s">
        <v>420</v>
      </c>
      <c r="Q131" s="12" t="s">
        <v>421</v>
      </c>
      <c r="R131" s="12" t="s">
        <v>25</v>
      </c>
      <c r="S131" s="12" t="s">
        <v>249</v>
      </c>
      <c r="T131" s="13" t="str">
        <f t="shared" si="1"/>
        <v>Y</v>
      </c>
      <c r="U131" s="12" t="str">
        <f t="shared" si="2"/>
        <v> </v>
      </c>
    </row>
    <row r="132" ht="12.75" customHeight="1">
      <c r="A132" s="7">
        <v>45718.0</v>
      </c>
      <c r="B132" s="8" t="s">
        <v>422</v>
      </c>
      <c r="C132" s="8" t="s">
        <v>423</v>
      </c>
      <c r="D132" s="9" t="s">
        <v>18</v>
      </c>
      <c r="E132" s="7">
        <v>8.0</v>
      </c>
      <c r="F132" s="8" t="s">
        <v>128</v>
      </c>
      <c r="G132" s="9" t="s">
        <v>92</v>
      </c>
      <c r="H132" s="9" t="s">
        <v>21</v>
      </c>
      <c r="I132" s="9" t="s">
        <v>22</v>
      </c>
      <c r="J132" s="10" t="str">
        <f>IFERROR(VLOOKUP(A132, Sheet1!$O$1:$V$156, 6, FALSE), "")</f>
        <v/>
      </c>
      <c r="K132" s="10" t="str">
        <f>IFERROR(VLOOKUP(A132, Sheet1!$O$1:$V$156, 7, FALSE), "")
</f>
        <v/>
      </c>
      <c r="O132" s="11">
        <v>44693.0</v>
      </c>
      <c r="P132" s="12" t="s">
        <v>424</v>
      </c>
      <c r="Q132" s="12" t="s">
        <v>294</v>
      </c>
      <c r="R132" s="12" t="s">
        <v>25</v>
      </c>
      <c r="S132" s="12" t="s">
        <v>425</v>
      </c>
      <c r="T132" s="13" t="str">
        <f t="shared" si="1"/>
        <v>Y</v>
      </c>
      <c r="U132" s="12" t="str">
        <f t="shared" si="2"/>
        <v> </v>
      </c>
    </row>
    <row r="133" ht="12.75" customHeight="1">
      <c r="A133" s="7">
        <v>45718.0</v>
      </c>
      <c r="B133" s="8" t="s">
        <v>422</v>
      </c>
      <c r="C133" s="8" t="s">
        <v>423</v>
      </c>
      <c r="D133" s="9" t="s">
        <v>18</v>
      </c>
      <c r="E133" s="7">
        <v>8.0</v>
      </c>
      <c r="F133" s="8" t="s">
        <v>61</v>
      </c>
      <c r="G133" s="9" t="s">
        <v>20</v>
      </c>
      <c r="H133" s="9" t="s">
        <v>21</v>
      </c>
      <c r="I133" s="9" t="s">
        <v>22</v>
      </c>
      <c r="J133" s="10" t="str">
        <f>IFERROR(VLOOKUP(A133, Sheet1!$O$1:$V$156, 6, FALSE), "")</f>
        <v/>
      </c>
      <c r="K133" s="10" t="str">
        <f>IFERROR(VLOOKUP(A133, Sheet1!$O$1:$V$156, 7, FALSE), "")
</f>
        <v/>
      </c>
      <c r="O133" s="11">
        <v>44454.0</v>
      </c>
      <c r="P133" s="12" t="s">
        <v>426</v>
      </c>
      <c r="Q133" s="12" t="s">
        <v>410</v>
      </c>
      <c r="R133" s="12" t="s">
        <v>25</v>
      </c>
      <c r="S133" s="12" t="s">
        <v>249</v>
      </c>
      <c r="T133" s="13" t="str">
        <f t="shared" si="1"/>
        <v>Y</v>
      </c>
      <c r="U133" s="12" t="str">
        <f t="shared" si="2"/>
        <v> </v>
      </c>
    </row>
    <row r="134" ht="12.75" customHeight="1">
      <c r="A134" s="7">
        <v>47506.0</v>
      </c>
      <c r="B134" s="8" t="s">
        <v>359</v>
      </c>
      <c r="C134" s="8" t="s">
        <v>358</v>
      </c>
      <c r="D134" s="9" t="s">
        <v>28</v>
      </c>
      <c r="E134" s="7">
        <v>6.0</v>
      </c>
      <c r="F134" s="8" t="s">
        <v>112</v>
      </c>
      <c r="G134" s="9" t="s">
        <v>28</v>
      </c>
      <c r="H134" s="9" t="s">
        <v>21</v>
      </c>
      <c r="I134" s="9" t="s">
        <v>129</v>
      </c>
      <c r="J134" s="10" t="str">
        <f>IFERROR(VLOOKUP(A134, Sheet1!$O$1:$V$156, 6, FALSE), "")</f>
        <v> </v>
      </c>
      <c r="K134" s="10" t="str">
        <f>IFERROR(VLOOKUP(A134, Sheet1!$O$1:$V$156, 7, FALSE), "")
</f>
        <v>Y</v>
      </c>
      <c r="O134" s="11">
        <v>44785.0</v>
      </c>
      <c r="P134" s="12" t="s">
        <v>427</v>
      </c>
      <c r="Q134" s="12" t="s">
        <v>428</v>
      </c>
      <c r="R134" s="12" t="s">
        <v>25</v>
      </c>
      <c r="S134" s="12" t="s">
        <v>425</v>
      </c>
      <c r="T134" s="13" t="str">
        <f t="shared" si="1"/>
        <v>Y</v>
      </c>
      <c r="U134" s="12" t="str">
        <f t="shared" si="2"/>
        <v> </v>
      </c>
    </row>
    <row r="135" ht="12.75" customHeight="1">
      <c r="A135" s="7">
        <v>46844.0</v>
      </c>
      <c r="B135" s="8" t="s">
        <v>289</v>
      </c>
      <c r="C135" s="8" t="s">
        <v>288</v>
      </c>
      <c r="D135" s="9" t="s">
        <v>18</v>
      </c>
      <c r="E135" s="7">
        <v>8.0</v>
      </c>
      <c r="F135" s="8" t="s">
        <v>56</v>
      </c>
      <c r="G135" s="9" t="s">
        <v>28</v>
      </c>
      <c r="H135" s="9" t="s">
        <v>21</v>
      </c>
      <c r="I135" s="9" t="s">
        <v>129</v>
      </c>
      <c r="J135" s="10" t="str">
        <f>IFERROR(VLOOKUP(A135, Sheet1!$O$1:$V$156, 6, FALSE), "")</f>
        <v> </v>
      </c>
      <c r="K135" s="10" t="str">
        <f>IFERROR(VLOOKUP(A135, Sheet1!$O$1:$V$156, 7, FALSE), "")
</f>
        <v>Y</v>
      </c>
      <c r="O135" s="11">
        <v>44714.0</v>
      </c>
      <c r="P135" s="12" t="s">
        <v>429</v>
      </c>
      <c r="Q135" s="12" t="s">
        <v>430</v>
      </c>
      <c r="R135" s="12" t="s">
        <v>25</v>
      </c>
      <c r="S135" s="12" t="s">
        <v>72</v>
      </c>
      <c r="T135" s="13" t="str">
        <f t="shared" si="1"/>
        <v>Y</v>
      </c>
      <c r="U135" s="12" t="str">
        <f t="shared" si="2"/>
        <v> </v>
      </c>
    </row>
    <row r="136" ht="12.75" customHeight="1">
      <c r="A136" s="7">
        <v>46844.0</v>
      </c>
      <c r="B136" s="8" t="s">
        <v>289</v>
      </c>
      <c r="C136" s="8" t="s">
        <v>288</v>
      </c>
      <c r="D136" s="9" t="s">
        <v>18</v>
      </c>
      <c r="E136" s="7">
        <v>8.0</v>
      </c>
      <c r="F136" s="8" t="s">
        <v>128</v>
      </c>
      <c r="G136" s="9" t="s">
        <v>20</v>
      </c>
      <c r="H136" s="9" t="s">
        <v>21</v>
      </c>
      <c r="I136" s="9" t="s">
        <v>129</v>
      </c>
      <c r="J136" s="10" t="str">
        <f>IFERROR(VLOOKUP(A136, Sheet1!$O$1:$V$156, 6, FALSE), "")</f>
        <v> </v>
      </c>
      <c r="K136" s="10" t="str">
        <f>IFERROR(VLOOKUP(A136, Sheet1!$O$1:$V$156, 7, FALSE), "")
</f>
        <v>Y</v>
      </c>
      <c r="O136" s="11">
        <v>45057.0</v>
      </c>
      <c r="P136" s="12" t="s">
        <v>117</v>
      </c>
      <c r="Q136" s="12" t="s">
        <v>431</v>
      </c>
      <c r="R136" s="12" t="s">
        <v>25</v>
      </c>
      <c r="S136" s="12" t="s">
        <v>432</v>
      </c>
      <c r="T136" s="13" t="str">
        <f t="shared" si="1"/>
        <v>Y</v>
      </c>
      <c r="U136" s="12" t="str">
        <f t="shared" si="2"/>
        <v> </v>
      </c>
    </row>
    <row r="137" ht="12.75" customHeight="1">
      <c r="A137" s="7">
        <v>46569.0</v>
      </c>
      <c r="B137" s="8" t="s">
        <v>433</v>
      </c>
      <c r="C137" s="8" t="s">
        <v>434</v>
      </c>
      <c r="D137" s="9" t="s">
        <v>28</v>
      </c>
      <c r="E137" s="7">
        <v>8.0</v>
      </c>
      <c r="F137" s="8" t="s">
        <v>61</v>
      </c>
      <c r="G137" s="9" t="s">
        <v>92</v>
      </c>
      <c r="H137" s="9" t="s">
        <v>21</v>
      </c>
      <c r="I137" s="9" t="s">
        <v>129</v>
      </c>
      <c r="J137" s="10" t="str">
        <f>IFERROR(VLOOKUP(A137, Sheet1!$O$1:$V$156, 6, FALSE), "")</f>
        <v/>
      </c>
      <c r="K137" s="10" t="str">
        <f>IFERROR(VLOOKUP(A137, Sheet1!$O$1:$V$156, 7, FALSE), "")
</f>
        <v/>
      </c>
      <c r="O137" s="11">
        <v>44473.0</v>
      </c>
      <c r="P137" s="12" t="s">
        <v>344</v>
      </c>
      <c r="Q137" s="12" t="s">
        <v>343</v>
      </c>
      <c r="R137" s="12" t="s">
        <v>25</v>
      </c>
      <c r="S137" s="12" t="s">
        <v>72</v>
      </c>
      <c r="T137" s="13" t="str">
        <f t="shared" si="1"/>
        <v>Y</v>
      </c>
      <c r="U137" s="12" t="str">
        <f t="shared" si="2"/>
        <v> </v>
      </c>
    </row>
    <row r="138" ht="12.75" customHeight="1">
      <c r="A138" s="7">
        <v>46569.0</v>
      </c>
      <c r="B138" s="8" t="s">
        <v>433</v>
      </c>
      <c r="C138" s="8" t="s">
        <v>434</v>
      </c>
      <c r="D138" s="9" t="s">
        <v>28</v>
      </c>
      <c r="E138" s="7">
        <v>8.0</v>
      </c>
      <c r="F138" s="8" t="s">
        <v>69</v>
      </c>
      <c r="G138" s="9" t="s">
        <v>34</v>
      </c>
      <c r="H138" s="9" t="s">
        <v>35</v>
      </c>
      <c r="I138" s="9" t="s">
        <v>129</v>
      </c>
      <c r="J138" s="10" t="str">
        <f>IFERROR(VLOOKUP(A138, Sheet1!$O$1:$V$156, 6, FALSE), "")</f>
        <v/>
      </c>
      <c r="K138" s="10" t="str">
        <f>IFERROR(VLOOKUP(A138, Sheet1!$O$1:$V$156, 7, FALSE), "")
</f>
        <v/>
      </c>
      <c r="O138" s="11">
        <v>44744.0</v>
      </c>
      <c r="P138" s="12" t="s">
        <v>435</v>
      </c>
      <c r="Q138" s="12" t="s">
        <v>436</v>
      </c>
      <c r="R138" s="12" t="s">
        <v>25</v>
      </c>
      <c r="S138" s="12" t="s">
        <v>72</v>
      </c>
      <c r="T138" s="13" t="str">
        <f t="shared" si="1"/>
        <v>Y</v>
      </c>
      <c r="U138" s="12" t="str">
        <f t="shared" si="2"/>
        <v> </v>
      </c>
    </row>
    <row r="139" ht="12.75" customHeight="1">
      <c r="A139" s="7">
        <v>47474.0</v>
      </c>
      <c r="B139" s="8" t="s">
        <v>437</v>
      </c>
      <c r="C139" s="8" t="s">
        <v>438</v>
      </c>
      <c r="D139" s="9" t="s">
        <v>28</v>
      </c>
      <c r="E139" s="7">
        <v>7.0</v>
      </c>
      <c r="F139" s="8" t="s">
        <v>144</v>
      </c>
      <c r="G139" s="9" t="s">
        <v>20</v>
      </c>
      <c r="H139" s="9" t="s">
        <v>21</v>
      </c>
      <c r="I139" s="9" t="s">
        <v>22</v>
      </c>
      <c r="J139" s="10" t="str">
        <f>IFERROR(VLOOKUP(A139, Sheet1!$O$1:$V$156, 6, FALSE), "")</f>
        <v/>
      </c>
      <c r="K139" s="10" t="str">
        <f>IFERROR(VLOOKUP(A139, Sheet1!$O$1:$V$156, 7, FALSE), "")
</f>
        <v/>
      </c>
      <c r="O139" s="11">
        <v>43962.0</v>
      </c>
      <c r="P139" s="12" t="s">
        <v>328</v>
      </c>
      <c r="Q139" s="12" t="s">
        <v>327</v>
      </c>
      <c r="R139" s="12" t="s">
        <v>22</v>
      </c>
      <c r="S139" s="12" t="s">
        <v>439</v>
      </c>
      <c r="T139" s="13" t="str">
        <f t="shared" si="1"/>
        <v>Y</v>
      </c>
      <c r="U139" s="12" t="str">
        <f t="shared" si="2"/>
        <v> </v>
      </c>
    </row>
    <row r="140" ht="12.75" customHeight="1">
      <c r="A140" s="7">
        <v>47474.0</v>
      </c>
      <c r="B140" s="8" t="s">
        <v>437</v>
      </c>
      <c r="C140" s="8" t="s">
        <v>438</v>
      </c>
      <c r="D140" s="9" t="s">
        <v>28</v>
      </c>
      <c r="E140" s="7">
        <v>7.0</v>
      </c>
      <c r="F140" s="8" t="s">
        <v>222</v>
      </c>
      <c r="G140" s="9" t="s">
        <v>20</v>
      </c>
      <c r="H140" s="9" t="s">
        <v>21</v>
      </c>
      <c r="I140" s="9" t="s">
        <v>22</v>
      </c>
      <c r="J140" s="10" t="str">
        <f>IFERROR(VLOOKUP(A140, Sheet1!$O$1:$V$156, 6, FALSE), "")</f>
        <v/>
      </c>
      <c r="K140" s="10" t="str">
        <f>IFERROR(VLOOKUP(A140, Sheet1!$O$1:$V$156, 7, FALSE), "")
</f>
        <v/>
      </c>
      <c r="O140" s="11">
        <v>44468.0</v>
      </c>
      <c r="P140" s="12" t="s">
        <v>440</v>
      </c>
      <c r="Q140" s="12" t="s">
        <v>441</v>
      </c>
      <c r="R140" s="12" t="s">
        <v>25</v>
      </c>
      <c r="S140" s="12" t="s">
        <v>72</v>
      </c>
      <c r="T140" s="13" t="str">
        <f t="shared" si="1"/>
        <v>Y</v>
      </c>
      <c r="U140" s="12" t="str">
        <f t="shared" si="2"/>
        <v> </v>
      </c>
    </row>
    <row r="141" ht="12.75" customHeight="1">
      <c r="A141" s="7">
        <v>44987.0</v>
      </c>
      <c r="B141" s="8" t="s">
        <v>208</v>
      </c>
      <c r="C141" s="8" t="s">
        <v>143</v>
      </c>
      <c r="D141" s="9" t="s">
        <v>18</v>
      </c>
      <c r="E141" s="7">
        <v>7.0</v>
      </c>
      <c r="F141" s="8" t="s">
        <v>222</v>
      </c>
      <c r="G141" s="9" t="s">
        <v>57</v>
      </c>
      <c r="H141" s="9" t="s">
        <v>21</v>
      </c>
      <c r="I141" s="9" t="s">
        <v>22</v>
      </c>
      <c r="J141" s="10" t="str">
        <f>IFERROR(VLOOKUP(A141, Sheet1!$O$1:$V$156, 6, FALSE), "")</f>
        <v> </v>
      </c>
      <c r="K141" s="10" t="str">
        <f>IFERROR(VLOOKUP(A141, Sheet1!$O$1:$V$156, 7, FALSE), "")
</f>
        <v>Y</v>
      </c>
      <c r="O141" s="11">
        <v>47417.0</v>
      </c>
      <c r="P141" s="12" t="s">
        <v>442</v>
      </c>
      <c r="Q141" s="12" t="s">
        <v>443</v>
      </c>
      <c r="R141" s="12" t="s">
        <v>25</v>
      </c>
      <c r="S141" s="12" t="s">
        <v>444</v>
      </c>
      <c r="T141" s="13" t="str">
        <f t="shared" si="1"/>
        <v>Y</v>
      </c>
      <c r="U141" s="12" t="str">
        <f t="shared" si="2"/>
        <v> </v>
      </c>
    </row>
    <row r="142" ht="12.75" customHeight="1">
      <c r="A142" s="7">
        <v>44987.0</v>
      </c>
      <c r="B142" s="8" t="s">
        <v>208</v>
      </c>
      <c r="C142" s="8" t="s">
        <v>143</v>
      </c>
      <c r="D142" s="9" t="s">
        <v>18</v>
      </c>
      <c r="E142" s="7">
        <v>7.0</v>
      </c>
      <c r="F142" s="8" t="s">
        <v>95</v>
      </c>
      <c r="G142" s="9" t="s">
        <v>20</v>
      </c>
      <c r="H142" s="9" t="s">
        <v>21</v>
      </c>
      <c r="I142" s="9" t="s">
        <v>22</v>
      </c>
      <c r="J142" s="10" t="str">
        <f>IFERROR(VLOOKUP(A142, Sheet1!$O$1:$V$156, 6, FALSE), "")</f>
        <v> </v>
      </c>
      <c r="K142" s="10" t="str">
        <f>IFERROR(VLOOKUP(A142, Sheet1!$O$1:$V$156, 7, FALSE), "")
</f>
        <v>Y</v>
      </c>
      <c r="O142" s="11">
        <v>45241.0</v>
      </c>
      <c r="P142" s="12" t="s">
        <v>445</v>
      </c>
      <c r="Q142" s="12" t="s">
        <v>446</v>
      </c>
      <c r="R142" s="12" t="s">
        <v>25</v>
      </c>
      <c r="S142" s="12" t="s">
        <v>447</v>
      </c>
      <c r="T142" s="13" t="str">
        <f t="shared" si="1"/>
        <v>Y</v>
      </c>
      <c r="U142" s="12" t="str">
        <f t="shared" si="2"/>
        <v> </v>
      </c>
    </row>
    <row r="143" ht="12.75" customHeight="1">
      <c r="A143" s="7">
        <v>47176.0</v>
      </c>
      <c r="B143" s="8" t="s">
        <v>365</v>
      </c>
      <c r="C143" s="8" t="s">
        <v>364</v>
      </c>
      <c r="D143" s="9" t="s">
        <v>18</v>
      </c>
      <c r="E143" s="7">
        <v>6.0</v>
      </c>
      <c r="F143" s="8" t="s">
        <v>107</v>
      </c>
      <c r="G143" s="9" t="s">
        <v>28</v>
      </c>
      <c r="H143" s="9" t="s">
        <v>35</v>
      </c>
      <c r="I143" s="9" t="s">
        <v>25</v>
      </c>
      <c r="J143" s="10" t="str">
        <f>IFERROR(VLOOKUP(A143, Sheet1!$O$1:$V$156, 6, FALSE), "")</f>
        <v> </v>
      </c>
      <c r="K143" s="10" t="str">
        <f>IFERROR(VLOOKUP(A143, Sheet1!$O$1:$V$156, 7, FALSE), "")
</f>
        <v>Y</v>
      </c>
      <c r="O143" s="11">
        <v>46820.0</v>
      </c>
      <c r="P143" s="12" t="s">
        <v>41</v>
      </c>
      <c r="Q143" s="12" t="s">
        <v>40</v>
      </c>
      <c r="R143" s="12" t="s">
        <v>25</v>
      </c>
      <c r="S143" s="12" t="s">
        <v>448</v>
      </c>
      <c r="T143" s="13" t="str">
        <f t="shared" si="1"/>
        <v>Y</v>
      </c>
      <c r="U143" s="12" t="str">
        <f t="shared" si="2"/>
        <v> </v>
      </c>
    </row>
    <row r="144" ht="12.75" customHeight="1">
      <c r="A144" s="7">
        <v>47176.0</v>
      </c>
      <c r="B144" s="8" t="s">
        <v>365</v>
      </c>
      <c r="C144" s="8" t="s">
        <v>364</v>
      </c>
      <c r="D144" s="9" t="s">
        <v>18</v>
      </c>
      <c r="E144" s="7">
        <v>6.0</v>
      </c>
      <c r="F144" s="8" t="s">
        <v>152</v>
      </c>
      <c r="G144" s="9" t="s">
        <v>92</v>
      </c>
      <c r="H144" s="9" t="s">
        <v>21</v>
      </c>
      <c r="I144" s="9" t="s">
        <v>25</v>
      </c>
      <c r="J144" s="10" t="str">
        <f>IFERROR(VLOOKUP(A144, Sheet1!$O$1:$V$156, 6, FALSE), "")</f>
        <v> </v>
      </c>
      <c r="K144" s="10" t="str">
        <f>IFERROR(VLOOKUP(A144, Sheet1!$O$1:$V$156, 7, FALSE), "")
</f>
        <v>Y</v>
      </c>
      <c r="O144" s="11">
        <v>46905.0</v>
      </c>
      <c r="P144" s="12" t="s">
        <v>449</v>
      </c>
      <c r="Q144" s="12" t="s">
        <v>450</v>
      </c>
      <c r="R144" s="12" t="s">
        <v>25</v>
      </c>
      <c r="S144" s="12" t="s">
        <v>75</v>
      </c>
      <c r="T144" s="13" t="str">
        <f t="shared" si="1"/>
        <v>Y</v>
      </c>
      <c r="U144" s="12" t="str">
        <f t="shared" si="2"/>
        <v> </v>
      </c>
    </row>
    <row r="145" ht="12.75" customHeight="1">
      <c r="A145" s="7">
        <v>47176.0</v>
      </c>
      <c r="B145" s="8" t="s">
        <v>365</v>
      </c>
      <c r="C145" s="8" t="s">
        <v>364</v>
      </c>
      <c r="D145" s="9" t="s">
        <v>18</v>
      </c>
      <c r="E145" s="7">
        <v>6.0</v>
      </c>
      <c r="F145" s="8" t="s">
        <v>451</v>
      </c>
      <c r="G145" s="9" t="s">
        <v>20</v>
      </c>
      <c r="H145" s="9" t="s">
        <v>21</v>
      </c>
      <c r="I145" s="9" t="s">
        <v>25</v>
      </c>
      <c r="J145" s="10" t="str">
        <f>IFERROR(VLOOKUP(A145, Sheet1!$O$1:$V$156, 6, FALSE), "")</f>
        <v> </v>
      </c>
      <c r="K145" s="10" t="str">
        <f>IFERROR(VLOOKUP(A145, Sheet1!$O$1:$V$156, 7, FALSE), "")
</f>
        <v>Y</v>
      </c>
      <c r="O145" s="11">
        <v>47416.0</v>
      </c>
      <c r="P145" s="12" t="s">
        <v>313</v>
      </c>
      <c r="Q145" s="12" t="s">
        <v>312</v>
      </c>
      <c r="R145" s="12" t="s">
        <v>25</v>
      </c>
      <c r="S145" s="12" t="s">
        <v>452</v>
      </c>
      <c r="T145" s="13" t="str">
        <f t="shared" si="1"/>
        <v>Y</v>
      </c>
      <c r="U145" s="12" t="str">
        <f t="shared" si="2"/>
        <v> </v>
      </c>
    </row>
    <row r="146" ht="12.75" customHeight="1">
      <c r="A146" s="7">
        <v>47176.0</v>
      </c>
      <c r="B146" s="8" t="s">
        <v>365</v>
      </c>
      <c r="C146" s="8" t="s">
        <v>364</v>
      </c>
      <c r="D146" s="9" t="s">
        <v>18</v>
      </c>
      <c r="E146" s="7">
        <v>6.0</v>
      </c>
      <c r="F146" s="8" t="s">
        <v>152</v>
      </c>
      <c r="G146" s="9" t="s">
        <v>92</v>
      </c>
      <c r="H146" s="9" t="s">
        <v>21</v>
      </c>
      <c r="I146" s="9" t="s">
        <v>25</v>
      </c>
      <c r="J146" s="10" t="str">
        <f>IFERROR(VLOOKUP(A146, Sheet1!$O$1:$V$156, 6, FALSE), "")</f>
        <v> </v>
      </c>
      <c r="K146" s="10" t="str">
        <f>IFERROR(VLOOKUP(A146, Sheet1!$O$1:$V$156, 7, FALSE), "")
</f>
        <v>Y</v>
      </c>
      <c r="O146" s="11">
        <v>45137.0</v>
      </c>
      <c r="P146" s="12" t="s">
        <v>453</v>
      </c>
      <c r="Q146" s="12" t="s">
        <v>454</v>
      </c>
      <c r="R146" s="12" t="s">
        <v>25</v>
      </c>
      <c r="S146" s="12" t="s">
        <v>386</v>
      </c>
      <c r="T146" s="13" t="str">
        <f t="shared" si="1"/>
        <v>Y</v>
      </c>
      <c r="U146" s="12" t="str">
        <f t="shared" si="2"/>
        <v> </v>
      </c>
    </row>
    <row r="147" ht="12.75" customHeight="1">
      <c r="A147" s="7">
        <v>45731.0</v>
      </c>
      <c r="B147" s="8" t="s">
        <v>181</v>
      </c>
      <c r="C147" s="8" t="s">
        <v>455</v>
      </c>
      <c r="D147" s="9" t="s">
        <v>18</v>
      </c>
      <c r="E147" s="7">
        <v>6.0</v>
      </c>
      <c r="F147" s="8" t="s">
        <v>112</v>
      </c>
      <c r="G147" s="9" t="s">
        <v>118</v>
      </c>
      <c r="H147" s="9" t="s">
        <v>35</v>
      </c>
      <c r="I147" s="9" t="s">
        <v>25</v>
      </c>
      <c r="J147" s="10" t="str">
        <f>IFERROR(VLOOKUP(A147, Sheet1!$O$1:$V$156, 6, FALSE), "")</f>
        <v/>
      </c>
      <c r="K147" s="10" t="str">
        <f>IFERROR(VLOOKUP(A147, Sheet1!$O$1:$V$156, 7, FALSE), "")
</f>
        <v/>
      </c>
      <c r="O147" s="11">
        <v>44446.0</v>
      </c>
      <c r="P147" s="12" t="s">
        <v>456</v>
      </c>
      <c r="Q147" s="12" t="s">
        <v>457</v>
      </c>
      <c r="R147" s="12" t="s">
        <v>25</v>
      </c>
      <c r="S147" s="12" t="s">
        <v>458</v>
      </c>
      <c r="T147" s="13" t="str">
        <f t="shared" si="1"/>
        <v>Y</v>
      </c>
      <c r="U147" s="12" t="str">
        <f t="shared" si="2"/>
        <v> </v>
      </c>
    </row>
    <row r="148" ht="12.75" customHeight="1">
      <c r="A148" s="7">
        <v>44097.0</v>
      </c>
      <c r="B148" s="8" t="s">
        <v>421</v>
      </c>
      <c r="C148" s="8" t="s">
        <v>420</v>
      </c>
      <c r="D148" s="9" t="s">
        <v>28</v>
      </c>
      <c r="E148" s="7">
        <v>8.0</v>
      </c>
      <c r="F148" s="8" t="s">
        <v>48</v>
      </c>
      <c r="G148" s="9" t="s">
        <v>20</v>
      </c>
      <c r="H148" s="9" t="s">
        <v>21</v>
      </c>
      <c r="I148" s="9" t="s">
        <v>25</v>
      </c>
      <c r="J148" s="10" t="str">
        <f>IFERROR(VLOOKUP(A148, Sheet1!$O$1:$V$156, 6, FALSE), "")</f>
        <v>Y</v>
      </c>
      <c r="K148" s="10" t="str">
        <f>IFERROR(VLOOKUP(A148, Sheet1!$O$1:$V$156, 7, FALSE), "")
</f>
        <v> </v>
      </c>
      <c r="O148" s="11">
        <v>45106.0</v>
      </c>
      <c r="P148" s="12" t="s">
        <v>84</v>
      </c>
      <c r="Q148" s="12" t="s">
        <v>83</v>
      </c>
      <c r="R148" s="12" t="s">
        <v>25</v>
      </c>
      <c r="S148" s="12" t="s">
        <v>254</v>
      </c>
      <c r="T148" s="13" t="str">
        <f t="shared" si="1"/>
        <v>Y</v>
      </c>
      <c r="U148" s="12" t="str">
        <f t="shared" si="2"/>
        <v> </v>
      </c>
    </row>
    <row r="149" ht="12.75" customHeight="1">
      <c r="A149" s="7">
        <v>44097.0</v>
      </c>
      <c r="B149" s="8" t="s">
        <v>421</v>
      </c>
      <c r="C149" s="8" t="s">
        <v>420</v>
      </c>
      <c r="D149" s="9" t="s">
        <v>28</v>
      </c>
      <c r="E149" s="7">
        <v>8.0</v>
      </c>
      <c r="F149" s="8" t="s">
        <v>128</v>
      </c>
      <c r="G149" s="9" t="s">
        <v>20</v>
      </c>
      <c r="H149" s="9" t="s">
        <v>21</v>
      </c>
      <c r="I149" s="9" t="s">
        <v>25</v>
      </c>
      <c r="J149" s="10" t="str">
        <f>IFERROR(VLOOKUP(A149, Sheet1!$O$1:$V$156, 6, FALSE), "")</f>
        <v>Y</v>
      </c>
      <c r="K149" s="10" t="str">
        <f>IFERROR(VLOOKUP(A149, Sheet1!$O$1:$V$156, 7, FALSE), "")
</f>
        <v> </v>
      </c>
      <c r="O149" s="11">
        <v>44759.0</v>
      </c>
      <c r="P149" s="12" t="s">
        <v>378</v>
      </c>
      <c r="Q149" s="12" t="s">
        <v>377</v>
      </c>
      <c r="R149" s="12" t="s">
        <v>25</v>
      </c>
      <c r="S149" s="12" t="s">
        <v>459</v>
      </c>
      <c r="T149" s="13" t="str">
        <f t="shared" si="1"/>
        <v>Y</v>
      </c>
      <c r="U149" s="12" t="str">
        <f t="shared" si="2"/>
        <v> </v>
      </c>
    </row>
    <row r="150" ht="12.75" customHeight="1">
      <c r="A150" s="7">
        <v>44237.0</v>
      </c>
      <c r="B150" s="8" t="s">
        <v>211</v>
      </c>
      <c r="C150" s="8" t="s">
        <v>210</v>
      </c>
      <c r="D150" s="9" t="s">
        <v>18</v>
      </c>
      <c r="E150" s="7">
        <v>8.0</v>
      </c>
      <c r="F150" s="8" t="s">
        <v>61</v>
      </c>
      <c r="G150" s="9" t="s">
        <v>28</v>
      </c>
      <c r="H150" s="9" t="s">
        <v>21</v>
      </c>
      <c r="I150" s="9" t="s">
        <v>22</v>
      </c>
      <c r="J150" s="10" t="str">
        <f>IFERROR(VLOOKUP(A150, Sheet1!$O$1:$V$156, 6, FALSE), "")</f>
        <v> </v>
      </c>
      <c r="K150" s="10" t="str">
        <f>IFERROR(VLOOKUP(A150, Sheet1!$O$1:$V$156, 7, FALSE), "")
</f>
        <v>Y</v>
      </c>
      <c r="O150" s="11">
        <v>44761.0</v>
      </c>
      <c r="P150" s="12" t="s">
        <v>33</v>
      </c>
      <c r="Q150" s="12" t="s">
        <v>32</v>
      </c>
      <c r="R150" s="12" t="s">
        <v>25</v>
      </c>
      <c r="S150" s="12" t="s">
        <v>78</v>
      </c>
      <c r="T150" s="13" t="str">
        <f t="shared" si="1"/>
        <v>Y</v>
      </c>
      <c r="U150" s="12" t="str">
        <f t="shared" si="2"/>
        <v> </v>
      </c>
    </row>
    <row r="151" ht="12.75" customHeight="1">
      <c r="A151" s="7">
        <v>44345.0</v>
      </c>
      <c r="B151" s="8" t="s">
        <v>374</v>
      </c>
      <c r="C151" s="8" t="s">
        <v>373</v>
      </c>
      <c r="D151" s="9" t="s">
        <v>18</v>
      </c>
      <c r="E151" s="7">
        <v>8.0</v>
      </c>
      <c r="F151" s="8" t="s">
        <v>48</v>
      </c>
      <c r="G151" s="9" t="s">
        <v>28</v>
      </c>
      <c r="H151" s="9" t="s">
        <v>21</v>
      </c>
      <c r="I151" s="9" t="s">
        <v>22</v>
      </c>
      <c r="J151" s="10" t="str">
        <f>IFERROR(VLOOKUP(A151, Sheet1!$O$1:$V$156, 6, FALSE), "")</f>
        <v> </v>
      </c>
      <c r="K151" s="10" t="str">
        <f>IFERROR(VLOOKUP(A151, Sheet1!$O$1:$V$156, 7, FALSE), "")
</f>
        <v>Y</v>
      </c>
      <c r="O151" s="11">
        <v>47043.0</v>
      </c>
      <c r="P151" s="12" t="s">
        <v>93</v>
      </c>
      <c r="Q151" s="12" t="s">
        <v>443</v>
      </c>
      <c r="R151" s="12" t="s">
        <v>25</v>
      </c>
      <c r="S151" s="12" t="s">
        <v>78</v>
      </c>
      <c r="T151" s="13" t="str">
        <f t="shared" si="1"/>
        <v>Y</v>
      </c>
      <c r="U151" s="12" t="str">
        <f t="shared" si="2"/>
        <v> </v>
      </c>
    </row>
    <row r="152" ht="12.75" customHeight="1">
      <c r="A152" s="7">
        <v>44345.0</v>
      </c>
      <c r="B152" s="8" t="s">
        <v>374</v>
      </c>
      <c r="C152" s="8" t="s">
        <v>373</v>
      </c>
      <c r="D152" s="9" t="s">
        <v>18</v>
      </c>
      <c r="E152" s="7">
        <v>8.0</v>
      </c>
      <c r="F152" s="8" t="s">
        <v>69</v>
      </c>
      <c r="G152" s="9" t="s">
        <v>98</v>
      </c>
      <c r="H152" s="9" t="s">
        <v>35</v>
      </c>
      <c r="I152" s="9" t="s">
        <v>22</v>
      </c>
      <c r="J152" s="10" t="str">
        <f>IFERROR(VLOOKUP(A152, Sheet1!$O$1:$V$156, 6, FALSE), "")</f>
        <v> </v>
      </c>
      <c r="K152" s="10" t="str">
        <f>IFERROR(VLOOKUP(A152, Sheet1!$O$1:$V$156, 7, FALSE), "")
</f>
        <v>Y</v>
      </c>
      <c r="O152" s="11">
        <v>46560.0</v>
      </c>
      <c r="P152" s="12" t="s">
        <v>29</v>
      </c>
      <c r="Q152" s="12" t="s">
        <v>460</v>
      </c>
      <c r="R152" s="12" t="s">
        <v>25</v>
      </c>
      <c r="S152" s="12" t="s">
        <v>78</v>
      </c>
      <c r="T152" s="13" t="str">
        <f t="shared" si="1"/>
        <v>Y</v>
      </c>
      <c r="U152" s="12" t="str">
        <f t="shared" si="2"/>
        <v> </v>
      </c>
    </row>
    <row r="153" ht="12.75" customHeight="1">
      <c r="A153" s="7">
        <v>45260.0</v>
      </c>
      <c r="B153" s="8" t="s">
        <v>461</v>
      </c>
      <c r="C153" s="8" t="s">
        <v>462</v>
      </c>
      <c r="D153" s="9" t="s">
        <v>18</v>
      </c>
      <c r="E153" s="7">
        <v>6.0</v>
      </c>
      <c r="F153" s="8" t="s">
        <v>85</v>
      </c>
      <c r="G153" s="9" t="s">
        <v>86</v>
      </c>
      <c r="H153" s="9" t="s">
        <v>35</v>
      </c>
      <c r="I153" s="9" t="s">
        <v>25</v>
      </c>
      <c r="J153" s="10" t="str">
        <f>IFERROR(VLOOKUP(A153, Sheet1!$O$1:$V$156, 6, FALSE), "")</f>
        <v/>
      </c>
      <c r="K153" s="10" t="str">
        <f>IFERROR(VLOOKUP(A153, Sheet1!$O$1:$V$156, 7, FALSE), "")
</f>
        <v/>
      </c>
      <c r="O153" s="11">
        <v>44369.0</v>
      </c>
      <c r="P153" s="12" t="s">
        <v>463</v>
      </c>
      <c r="Q153" s="12" t="s">
        <v>464</v>
      </c>
      <c r="R153" s="12" t="s">
        <v>25</v>
      </c>
      <c r="S153" s="12" t="s">
        <v>465</v>
      </c>
      <c r="T153" s="13" t="str">
        <f t="shared" si="1"/>
        <v>Y</v>
      </c>
      <c r="U153" s="12" t="str">
        <f t="shared" si="2"/>
        <v> </v>
      </c>
    </row>
    <row r="154" ht="12.75" customHeight="1">
      <c r="A154" s="7">
        <v>45260.0</v>
      </c>
      <c r="B154" s="8" t="s">
        <v>461</v>
      </c>
      <c r="C154" s="8" t="s">
        <v>462</v>
      </c>
      <c r="D154" s="9" t="s">
        <v>18</v>
      </c>
      <c r="E154" s="7">
        <v>6.0</v>
      </c>
      <c r="F154" s="8" t="s">
        <v>287</v>
      </c>
      <c r="G154" s="9" t="s">
        <v>186</v>
      </c>
      <c r="H154" s="9" t="s">
        <v>35</v>
      </c>
      <c r="I154" s="9" t="s">
        <v>25</v>
      </c>
      <c r="J154" s="10" t="str">
        <f>IFERROR(VLOOKUP(A154, Sheet1!$O$1:$V$156, 6, FALSE), "")</f>
        <v/>
      </c>
      <c r="K154" s="10" t="str">
        <f>IFERROR(VLOOKUP(A154, Sheet1!$O$1:$V$156, 7, FALSE), "")
</f>
        <v/>
      </c>
      <c r="O154" s="11">
        <v>45979.0</v>
      </c>
      <c r="P154" s="12" t="s">
        <v>466</v>
      </c>
      <c r="Q154" s="12" t="s">
        <v>467</v>
      </c>
      <c r="R154" s="12" t="s">
        <v>25</v>
      </c>
      <c r="S154" s="12" t="s">
        <v>78</v>
      </c>
      <c r="T154" s="13" t="str">
        <f t="shared" si="1"/>
        <v>Y</v>
      </c>
      <c r="U154" s="12" t="str">
        <f t="shared" si="2"/>
        <v> </v>
      </c>
    </row>
    <row r="155" ht="12.75" customHeight="1">
      <c r="A155" s="7">
        <v>45809.0</v>
      </c>
      <c r="B155" s="8" t="s">
        <v>468</v>
      </c>
      <c r="C155" s="8" t="s">
        <v>469</v>
      </c>
      <c r="D155" s="9" t="s">
        <v>18</v>
      </c>
      <c r="E155" s="7">
        <v>7.0</v>
      </c>
      <c r="F155" s="8" t="s">
        <v>144</v>
      </c>
      <c r="G155" s="9" t="s">
        <v>28</v>
      </c>
      <c r="H155" s="9" t="s">
        <v>21</v>
      </c>
      <c r="I155" s="9" t="s">
        <v>22</v>
      </c>
      <c r="J155" s="10" t="str">
        <f>IFERROR(VLOOKUP(A155, Sheet1!$O$1:$V$156, 6, FALSE), "")</f>
        <v/>
      </c>
      <c r="K155" s="10" t="str">
        <f>IFERROR(VLOOKUP(A155, Sheet1!$O$1:$V$156, 7, FALSE), "")
</f>
        <v/>
      </c>
      <c r="O155" s="11">
        <v>44405.0</v>
      </c>
      <c r="P155" s="12" t="s">
        <v>470</v>
      </c>
      <c r="Q155" s="12" t="s">
        <v>68</v>
      </c>
      <c r="R155" s="12" t="s">
        <v>25</v>
      </c>
      <c r="S155" s="12" t="s">
        <v>471</v>
      </c>
      <c r="T155" s="13" t="str">
        <f t="shared" si="1"/>
        <v>Y</v>
      </c>
      <c r="U155" s="12" t="str">
        <f t="shared" si="2"/>
        <v> </v>
      </c>
    </row>
    <row r="156" ht="12.75" customHeight="1">
      <c r="A156" s="7">
        <v>44468.0</v>
      </c>
      <c r="B156" s="8" t="s">
        <v>441</v>
      </c>
      <c r="C156" s="8" t="s">
        <v>440</v>
      </c>
      <c r="D156" s="9" t="s">
        <v>28</v>
      </c>
      <c r="E156" s="7">
        <v>7.0</v>
      </c>
      <c r="F156" s="8" t="s">
        <v>144</v>
      </c>
      <c r="G156" s="9" t="s">
        <v>20</v>
      </c>
      <c r="H156" s="9" t="s">
        <v>21</v>
      </c>
      <c r="I156" s="9" t="s">
        <v>25</v>
      </c>
      <c r="J156" s="10" t="str">
        <f>IFERROR(VLOOKUP(A156, Sheet1!$O$1:$V$156, 6, FALSE), "")</f>
        <v>Y</v>
      </c>
      <c r="K156" s="10" t="str">
        <f>IFERROR(VLOOKUP(A156, Sheet1!$O$1:$V$156, 7, FALSE), "")
</f>
        <v> </v>
      </c>
      <c r="O156" s="11">
        <v>44336.0</v>
      </c>
      <c r="P156" s="12" t="s">
        <v>472</v>
      </c>
      <c r="Q156" s="12" t="s">
        <v>473</v>
      </c>
      <c r="R156" s="12" t="s">
        <v>25</v>
      </c>
      <c r="S156" s="12" t="s">
        <v>471</v>
      </c>
      <c r="T156" s="13" t="str">
        <f t="shared" si="1"/>
        <v>Y</v>
      </c>
      <c r="U156" s="12" t="str">
        <f t="shared" si="2"/>
        <v> </v>
      </c>
    </row>
    <row r="157" ht="12.75" customHeight="1">
      <c r="A157" s="7">
        <v>46887.0</v>
      </c>
      <c r="B157" s="8" t="s">
        <v>402</v>
      </c>
      <c r="C157" s="8" t="s">
        <v>263</v>
      </c>
      <c r="D157" s="9" t="s">
        <v>18</v>
      </c>
      <c r="E157" s="7">
        <v>8.0</v>
      </c>
      <c r="F157" s="8" t="s">
        <v>61</v>
      </c>
      <c r="G157" s="9" t="s">
        <v>28</v>
      </c>
      <c r="H157" s="9" t="s">
        <v>35</v>
      </c>
      <c r="I157" s="9" t="s">
        <v>25</v>
      </c>
      <c r="J157" s="10" t="str">
        <f>IFERROR(VLOOKUP(A157, Sheet1!$O$1:$V$156, 6, FALSE), "")</f>
        <v>Y</v>
      </c>
      <c r="K157" s="10" t="str">
        <f>IFERROR(VLOOKUP(A157, Sheet1!$O$1:$V$156, 7, FALSE), "")
</f>
        <v> </v>
      </c>
    </row>
    <row r="158" ht="12.75" customHeight="1">
      <c r="A158" s="7">
        <v>46887.0</v>
      </c>
      <c r="B158" s="8" t="s">
        <v>402</v>
      </c>
      <c r="C158" s="8" t="s">
        <v>263</v>
      </c>
      <c r="D158" s="9" t="s">
        <v>18</v>
      </c>
      <c r="E158" s="7">
        <v>8.0</v>
      </c>
      <c r="F158" s="8" t="s">
        <v>56</v>
      </c>
      <c r="G158" s="9" t="s">
        <v>43</v>
      </c>
      <c r="H158" s="9" t="s">
        <v>35</v>
      </c>
      <c r="I158" s="9" t="s">
        <v>25</v>
      </c>
      <c r="J158" s="10" t="str">
        <f>IFERROR(VLOOKUP(A158, Sheet1!$O$1:$V$156, 6, FALSE), "")</f>
        <v>Y</v>
      </c>
      <c r="K158" s="10" t="str">
        <f>IFERROR(VLOOKUP(A158, Sheet1!$O$1:$V$156, 7, FALSE), "")
</f>
        <v> </v>
      </c>
    </row>
    <row r="159" ht="12.75" customHeight="1">
      <c r="A159" s="7">
        <v>45202.0</v>
      </c>
      <c r="B159" s="8" t="s">
        <v>294</v>
      </c>
      <c r="C159" s="8" t="s">
        <v>293</v>
      </c>
      <c r="D159" s="9" t="s">
        <v>18</v>
      </c>
      <c r="E159" s="7">
        <v>6.0</v>
      </c>
      <c r="F159" s="8" t="s">
        <v>474</v>
      </c>
      <c r="G159" s="9" t="s">
        <v>186</v>
      </c>
      <c r="H159" s="9" t="s">
        <v>35</v>
      </c>
      <c r="I159" s="9" t="s">
        <v>28</v>
      </c>
      <c r="J159" s="10" t="str">
        <f>IFERROR(VLOOKUP(A159, Sheet1!$O$1:$V$156, 6, FALSE), "")</f>
        <v> </v>
      </c>
      <c r="K159" s="10" t="str">
        <f>IFERROR(VLOOKUP(A159, Sheet1!$O$1:$V$156, 7, FALSE), "")
</f>
        <v>Y</v>
      </c>
    </row>
    <row r="160" ht="12.75" customHeight="1">
      <c r="A160" s="7">
        <v>47063.0</v>
      </c>
      <c r="B160" s="8" t="s">
        <v>294</v>
      </c>
      <c r="C160" s="8" t="s">
        <v>407</v>
      </c>
      <c r="D160" s="9" t="s">
        <v>18</v>
      </c>
      <c r="E160" s="7">
        <v>6.0</v>
      </c>
      <c r="F160" s="8" t="s">
        <v>174</v>
      </c>
      <c r="G160" s="9" t="s">
        <v>118</v>
      </c>
      <c r="H160" s="9" t="s">
        <v>35</v>
      </c>
      <c r="I160" s="9" t="s">
        <v>25</v>
      </c>
      <c r="J160" s="10" t="str">
        <f>IFERROR(VLOOKUP(A160, Sheet1!$O$1:$V$156, 6, FALSE), "")</f>
        <v>Y</v>
      </c>
      <c r="K160" s="10" t="str">
        <f>IFERROR(VLOOKUP(A160, Sheet1!$O$1:$V$156, 7, FALSE), "")
</f>
        <v> </v>
      </c>
    </row>
    <row r="161" ht="12.75" customHeight="1">
      <c r="A161" s="7">
        <v>47063.0</v>
      </c>
      <c r="B161" s="8" t="s">
        <v>294</v>
      </c>
      <c r="C161" s="8" t="s">
        <v>407</v>
      </c>
      <c r="D161" s="9" t="s">
        <v>18</v>
      </c>
      <c r="E161" s="7">
        <v>6.0</v>
      </c>
      <c r="F161" s="8" t="s">
        <v>85</v>
      </c>
      <c r="G161" s="9" t="s">
        <v>113</v>
      </c>
      <c r="H161" s="9" t="s">
        <v>44</v>
      </c>
      <c r="I161" s="9" t="s">
        <v>25</v>
      </c>
      <c r="J161" s="10" t="str">
        <f>IFERROR(VLOOKUP(A161, Sheet1!$O$1:$V$156, 6, FALSE), "")</f>
        <v>Y</v>
      </c>
      <c r="K161" s="10" t="str">
        <f>IFERROR(VLOOKUP(A161, Sheet1!$O$1:$V$156, 7, FALSE), "")
</f>
        <v> </v>
      </c>
    </row>
    <row r="162" ht="12.75" customHeight="1">
      <c r="A162" s="7">
        <v>47063.0</v>
      </c>
      <c r="B162" s="8" t="s">
        <v>294</v>
      </c>
      <c r="C162" s="8" t="s">
        <v>407</v>
      </c>
      <c r="D162" s="9" t="s">
        <v>18</v>
      </c>
      <c r="E162" s="7">
        <v>6.0</v>
      </c>
      <c r="F162" s="8" t="s">
        <v>107</v>
      </c>
      <c r="G162" s="9" t="s">
        <v>269</v>
      </c>
      <c r="H162" s="9" t="s">
        <v>35</v>
      </c>
      <c r="I162" s="9" t="s">
        <v>25</v>
      </c>
      <c r="J162" s="10" t="str">
        <f>IFERROR(VLOOKUP(A162, Sheet1!$O$1:$V$156, 6, FALSE), "")</f>
        <v>Y</v>
      </c>
      <c r="K162" s="10" t="str">
        <f>IFERROR(VLOOKUP(A162, Sheet1!$O$1:$V$156, 7, FALSE), "")
</f>
        <v> </v>
      </c>
    </row>
    <row r="163" ht="12.75" customHeight="1">
      <c r="A163" s="7">
        <v>47063.0</v>
      </c>
      <c r="B163" s="8" t="s">
        <v>294</v>
      </c>
      <c r="C163" s="8" t="s">
        <v>407</v>
      </c>
      <c r="D163" s="9" t="s">
        <v>18</v>
      </c>
      <c r="E163" s="7">
        <v>6.0</v>
      </c>
      <c r="F163" s="8" t="s">
        <v>19</v>
      </c>
      <c r="G163" s="9" t="s">
        <v>43</v>
      </c>
      <c r="H163" s="9" t="s">
        <v>44</v>
      </c>
      <c r="I163" s="9" t="s">
        <v>25</v>
      </c>
      <c r="J163" s="10" t="str">
        <f>IFERROR(VLOOKUP(A163, Sheet1!$O$1:$V$156, 6, FALSE), "")</f>
        <v>Y</v>
      </c>
      <c r="K163" s="10" t="str">
        <f>IFERROR(VLOOKUP(A163, Sheet1!$O$1:$V$156, 7, FALSE), "")
</f>
        <v> </v>
      </c>
    </row>
    <row r="164" ht="12.75" customHeight="1">
      <c r="A164" s="7">
        <v>44058.0</v>
      </c>
      <c r="B164" s="8" t="s">
        <v>475</v>
      </c>
      <c r="C164" s="8" t="s">
        <v>476</v>
      </c>
      <c r="D164" s="9" t="s">
        <v>18</v>
      </c>
      <c r="E164" s="7">
        <v>8.0</v>
      </c>
      <c r="F164" s="8" t="s">
        <v>61</v>
      </c>
      <c r="G164" s="9" t="s">
        <v>269</v>
      </c>
      <c r="H164" s="9" t="s">
        <v>35</v>
      </c>
      <c r="I164" s="9" t="s">
        <v>25</v>
      </c>
      <c r="J164" s="10" t="str">
        <f>IFERROR(VLOOKUP(A164, Sheet1!$O$1:$V$156, 6, FALSE), "")</f>
        <v/>
      </c>
      <c r="K164" s="10" t="str">
        <f>IFERROR(VLOOKUP(A164, Sheet1!$O$1:$V$156, 7, FALSE), "")
</f>
        <v/>
      </c>
    </row>
    <row r="165" ht="12.75" customHeight="1">
      <c r="A165" s="7">
        <v>44058.0</v>
      </c>
      <c r="B165" s="8" t="s">
        <v>475</v>
      </c>
      <c r="C165" s="8" t="s">
        <v>476</v>
      </c>
      <c r="D165" s="9" t="s">
        <v>18</v>
      </c>
      <c r="E165" s="7">
        <v>8.0</v>
      </c>
      <c r="F165" s="8" t="s">
        <v>69</v>
      </c>
      <c r="G165" s="9" t="s">
        <v>269</v>
      </c>
      <c r="H165" s="9" t="s">
        <v>35</v>
      </c>
      <c r="I165" s="9" t="s">
        <v>25</v>
      </c>
      <c r="J165" s="10" t="str">
        <f>IFERROR(VLOOKUP(A165, Sheet1!$O$1:$V$156, 6, FALSE), "")</f>
        <v/>
      </c>
      <c r="K165" s="10" t="str">
        <f>IFERROR(VLOOKUP(A165, Sheet1!$O$1:$V$156, 7, FALSE), "")
</f>
        <v/>
      </c>
    </row>
    <row r="166" ht="12.75" customHeight="1">
      <c r="A166" s="7">
        <v>45184.0</v>
      </c>
      <c r="B166" s="8" t="s">
        <v>477</v>
      </c>
      <c r="C166" s="8" t="s">
        <v>478</v>
      </c>
      <c r="D166" s="9" t="s">
        <v>18</v>
      </c>
      <c r="E166" s="7">
        <v>6.0</v>
      </c>
      <c r="F166" s="8" t="s">
        <v>19</v>
      </c>
      <c r="G166" s="9" t="s">
        <v>86</v>
      </c>
      <c r="H166" s="9" t="s">
        <v>35</v>
      </c>
      <c r="I166" s="9" t="s">
        <v>25</v>
      </c>
      <c r="J166" s="10" t="str">
        <f>IFERROR(VLOOKUP(A166, Sheet1!$O$1:$V$156, 6, FALSE), "")</f>
        <v/>
      </c>
      <c r="K166" s="10" t="str">
        <f>IFERROR(VLOOKUP(A166, Sheet1!$O$1:$V$156, 7, FALSE), "")
</f>
        <v/>
      </c>
    </row>
    <row r="167" ht="12.75" customHeight="1">
      <c r="A167" s="7">
        <v>46461.0</v>
      </c>
      <c r="B167" s="8" t="s">
        <v>479</v>
      </c>
      <c r="C167" s="8" t="s">
        <v>480</v>
      </c>
      <c r="D167" s="9" t="s">
        <v>18</v>
      </c>
      <c r="E167" s="7">
        <v>8.0</v>
      </c>
      <c r="F167" s="8" t="s">
        <v>61</v>
      </c>
      <c r="G167" s="9" t="s">
        <v>92</v>
      </c>
      <c r="H167" s="9" t="s">
        <v>21</v>
      </c>
      <c r="I167" s="9" t="s">
        <v>25</v>
      </c>
      <c r="J167" s="10" t="str">
        <f>IFERROR(VLOOKUP(A167, Sheet1!$O$1:$V$156, 6, FALSE), "")</f>
        <v/>
      </c>
      <c r="K167" s="10" t="str">
        <f>IFERROR(VLOOKUP(A167, Sheet1!$O$1:$V$156, 7, FALSE), "")
</f>
        <v/>
      </c>
    </row>
    <row r="168" ht="12.75" customHeight="1">
      <c r="A168" s="7">
        <v>46461.0</v>
      </c>
      <c r="B168" s="8" t="s">
        <v>479</v>
      </c>
      <c r="C168" s="8" t="s">
        <v>480</v>
      </c>
      <c r="D168" s="9" t="s">
        <v>18</v>
      </c>
      <c r="E168" s="7">
        <v>8.0</v>
      </c>
      <c r="F168" s="8" t="s">
        <v>69</v>
      </c>
      <c r="G168" s="9" t="s">
        <v>269</v>
      </c>
      <c r="H168" s="9" t="s">
        <v>35</v>
      </c>
      <c r="I168" s="9" t="s">
        <v>25</v>
      </c>
      <c r="J168" s="10" t="str">
        <f>IFERROR(VLOOKUP(A168, Sheet1!$O$1:$V$156, 6, FALSE), "")</f>
        <v/>
      </c>
      <c r="K168" s="10" t="str">
        <f>IFERROR(VLOOKUP(A168, Sheet1!$O$1:$V$156, 7, FALSE), "")
</f>
        <v/>
      </c>
    </row>
    <row r="169" ht="12.75" customHeight="1">
      <c r="A169" s="7">
        <v>47371.0</v>
      </c>
      <c r="B169" s="8" t="s">
        <v>388</v>
      </c>
      <c r="C169" s="8" t="s">
        <v>387</v>
      </c>
      <c r="D169" s="9" t="s">
        <v>28</v>
      </c>
      <c r="E169" s="7">
        <v>7.0</v>
      </c>
      <c r="F169" s="8" t="s">
        <v>481</v>
      </c>
      <c r="G169" s="9" t="s">
        <v>482</v>
      </c>
      <c r="H169" s="9" t="s">
        <v>35</v>
      </c>
      <c r="I169" s="9" t="s">
        <v>25</v>
      </c>
      <c r="J169" s="10" t="str">
        <f>IFERROR(VLOOKUP(A169, Sheet1!$O$1:$V$156, 6, FALSE), "")</f>
        <v> </v>
      </c>
      <c r="K169" s="10" t="str">
        <f>IFERROR(VLOOKUP(A169, Sheet1!$O$1:$V$156, 7, FALSE), "")
</f>
        <v>Y</v>
      </c>
    </row>
    <row r="170" ht="12.75" customHeight="1">
      <c r="A170" s="7">
        <v>46142.0</v>
      </c>
      <c r="B170" s="8" t="s">
        <v>30</v>
      </c>
      <c r="C170" s="8" t="s">
        <v>483</v>
      </c>
      <c r="D170" s="9" t="s">
        <v>28</v>
      </c>
      <c r="E170" s="7">
        <v>6.0</v>
      </c>
      <c r="F170" s="8" t="s">
        <v>112</v>
      </c>
      <c r="G170" s="9" t="s">
        <v>118</v>
      </c>
      <c r="H170" s="9" t="s">
        <v>35</v>
      </c>
      <c r="I170" s="9" t="s">
        <v>25</v>
      </c>
      <c r="J170" s="10" t="str">
        <f>IFERROR(VLOOKUP(A170, Sheet1!$O$1:$V$156, 6, FALSE), "")</f>
        <v/>
      </c>
      <c r="K170" s="10" t="str">
        <f>IFERROR(VLOOKUP(A170, Sheet1!$O$1:$V$156, 7, FALSE), "")
</f>
        <v/>
      </c>
    </row>
    <row r="171" ht="12.75" customHeight="1">
      <c r="A171" s="7">
        <v>46142.0</v>
      </c>
      <c r="B171" s="8" t="s">
        <v>30</v>
      </c>
      <c r="C171" s="8" t="s">
        <v>483</v>
      </c>
      <c r="D171" s="9" t="s">
        <v>28</v>
      </c>
      <c r="E171" s="7">
        <v>6.0</v>
      </c>
      <c r="F171" s="8" t="s">
        <v>85</v>
      </c>
      <c r="G171" s="9" t="s">
        <v>57</v>
      </c>
      <c r="H171" s="9" t="s">
        <v>21</v>
      </c>
      <c r="I171" s="9" t="s">
        <v>25</v>
      </c>
      <c r="J171" s="10" t="str">
        <f>IFERROR(VLOOKUP(A171, Sheet1!$O$1:$V$156, 6, FALSE), "")</f>
        <v/>
      </c>
      <c r="K171" s="10" t="str">
        <f>IFERROR(VLOOKUP(A171, Sheet1!$O$1:$V$156, 7, FALSE), "")
</f>
        <v/>
      </c>
    </row>
    <row r="172" ht="12.75" customHeight="1">
      <c r="A172" s="7">
        <v>46142.0</v>
      </c>
      <c r="B172" s="8" t="s">
        <v>30</v>
      </c>
      <c r="C172" s="8" t="s">
        <v>483</v>
      </c>
      <c r="D172" s="9" t="s">
        <v>28</v>
      </c>
      <c r="E172" s="7">
        <v>6.0</v>
      </c>
      <c r="F172" s="8" t="s">
        <v>107</v>
      </c>
      <c r="G172" s="9" t="s">
        <v>92</v>
      </c>
      <c r="H172" s="9" t="s">
        <v>21</v>
      </c>
      <c r="I172" s="9" t="s">
        <v>25</v>
      </c>
      <c r="J172" s="10" t="str">
        <f>IFERROR(VLOOKUP(A172, Sheet1!$O$1:$V$156, 6, FALSE), "")</f>
        <v/>
      </c>
      <c r="K172" s="10" t="str">
        <f>IFERROR(VLOOKUP(A172, Sheet1!$O$1:$V$156, 7, FALSE), "")
</f>
        <v/>
      </c>
    </row>
    <row r="173" ht="12.75" customHeight="1">
      <c r="A173" s="7">
        <v>46142.0</v>
      </c>
      <c r="B173" s="8" t="s">
        <v>30</v>
      </c>
      <c r="C173" s="8" t="s">
        <v>483</v>
      </c>
      <c r="D173" s="9" t="s">
        <v>28</v>
      </c>
      <c r="E173" s="7">
        <v>6.0</v>
      </c>
      <c r="F173" s="8" t="s">
        <v>27</v>
      </c>
      <c r="G173" s="9" t="s">
        <v>28</v>
      </c>
      <c r="H173" s="9" t="s">
        <v>21</v>
      </c>
      <c r="I173" s="9" t="s">
        <v>25</v>
      </c>
      <c r="J173" s="10" t="str">
        <f>IFERROR(VLOOKUP(A173, Sheet1!$O$1:$V$156, 6, FALSE), "")</f>
        <v/>
      </c>
      <c r="K173" s="10" t="str">
        <f>IFERROR(VLOOKUP(A173, Sheet1!$O$1:$V$156, 7, FALSE), "")
</f>
        <v/>
      </c>
    </row>
    <row r="174" ht="12.75" customHeight="1">
      <c r="A174" s="7">
        <v>44388.0</v>
      </c>
      <c r="B174" s="8" t="s">
        <v>484</v>
      </c>
      <c r="C174" s="8" t="s">
        <v>485</v>
      </c>
      <c r="D174" s="9" t="s">
        <v>28</v>
      </c>
      <c r="E174" s="7">
        <v>8.0</v>
      </c>
      <c r="F174" s="8" t="s">
        <v>128</v>
      </c>
      <c r="G174" s="9" t="s">
        <v>57</v>
      </c>
      <c r="H174" s="9" t="s">
        <v>21</v>
      </c>
      <c r="I174" s="9" t="s">
        <v>25</v>
      </c>
      <c r="J174" s="10" t="str">
        <f>IFERROR(VLOOKUP(A174, Sheet1!$O$1:$V$156, 6, FALSE), "")</f>
        <v/>
      </c>
      <c r="K174" s="10" t="str">
        <f>IFERROR(VLOOKUP(A174, Sheet1!$O$1:$V$156, 7, FALSE), "")
</f>
        <v/>
      </c>
    </row>
    <row r="175" ht="12.75" customHeight="1">
      <c r="A175" s="7">
        <v>44388.0</v>
      </c>
      <c r="B175" s="8" t="s">
        <v>484</v>
      </c>
      <c r="C175" s="8" t="s">
        <v>485</v>
      </c>
      <c r="D175" s="9" t="s">
        <v>28</v>
      </c>
      <c r="E175" s="7">
        <v>8.0</v>
      </c>
      <c r="F175" s="8" t="s">
        <v>61</v>
      </c>
      <c r="G175" s="9" t="s">
        <v>28</v>
      </c>
      <c r="H175" s="9" t="s">
        <v>21</v>
      </c>
      <c r="I175" s="9" t="s">
        <v>25</v>
      </c>
      <c r="J175" s="10" t="str">
        <f>IFERROR(VLOOKUP(A175, Sheet1!$O$1:$V$156, 6, FALSE), "")</f>
        <v/>
      </c>
      <c r="K175" s="10" t="str">
        <f>IFERROR(VLOOKUP(A175, Sheet1!$O$1:$V$156, 7, FALSE), "")
</f>
        <v/>
      </c>
    </row>
    <row r="176" ht="12.75" customHeight="1">
      <c r="A176" s="7">
        <v>44388.0</v>
      </c>
      <c r="B176" s="8" t="s">
        <v>484</v>
      </c>
      <c r="C176" s="8" t="s">
        <v>485</v>
      </c>
      <c r="D176" s="9" t="s">
        <v>28</v>
      </c>
      <c r="E176" s="7">
        <v>8.0</v>
      </c>
      <c r="F176" s="8" t="s">
        <v>56</v>
      </c>
      <c r="G176" s="9" t="s">
        <v>20</v>
      </c>
      <c r="H176" s="9" t="s">
        <v>21</v>
      </c>
      <c r="I176" s="9" t="s">
        <v>25</v>
      </c>
      <c r="J176" s="10" t="str">
        <f>IFERROR(VLOOKUP(A176, Sheet1!$O$1:$V$156, 6, FALSE), "")</f>
        <v/>
      </c>
      <c r="K176" s="10" t="str">
        <f>IFERROR(VLOOKUP(A176, Sheet1!$O$1:$V$156, 7, FALSE), "")
</f>
        <v/>
      </c>
    </row>
    <row r="177" ht="12.75" customHeight="1">
      <c r="A177" s="7">
        <v>46846.0</v>
      </c>
      <c r="B177" s="8" t="s">
        <v>486</v>
      </c>
      <c r="C177" s="8" t="s">
        <v>487</v>
      </c>
      <c r="D177" s="9" t="s">
        <v>28</v>
      </c>
      <c r="E177" s="7">
        <v>8.0</v>
      </c>
      <c r="F177" s="8" t="s">
        <v>61</v>
      </c>
      <c r="G177" s="9" t="s">
        <v>92</v>
      </c>
      <c r="H177" s="9" t="s">
        <v>21</v>
      </c>
      <c r="I177" s="9" t="s">
        <v>25</v>
      </c>
      <c r="J177" s="10" t="str">
        <f>IFERROR(VLOOKUP(A177, Sheet1!$O$1:$V$156, 6, FALSE), "")</f>
        <v/>
      </c>
      <c r="K177" s="10" t="str">
        <f>IFERROR(VLOOKUP(A177, Sheet1!$O$1:$V$156, 7, FALSE), "")
</f>
        <v/>
      </c>
    </row>
    <row r="178" ht="12.75" customHeight="1">
      <c r="A178" s="7">
        <v>44369.0</v>
      </c>
      <c r="B178" s="8" t="s">
        <v>464</v>
      </c>
      <c r="C178" s="8" t="s">
        <v>463</v>
      </c>
      <c r="D178" s="9" t="s">
        <v>18</v>
      </c>
      <c r="E178" s="7">
        <v>8.0</v>
      </c>
      <c r="F178" s="8" t="s">
        <v>61</v>
      </c>
      <c r="G178" s="9" t="s">
        <v>86</v>
      </c>
      <c r="H178" s="9" t="s">
        <v>35</v>
      </c>
      <c r="I178" s="9" t="s">
        <v>25</v>
      </c>
      <c r="J178" s="10" t="str">
        <f>IFERROR(VLOOKUP(A178, Sheet1!$O$1:$V$156, 6, FALSE), "")</f>
        <v>Y</v>
      </c>
      <c r="K178" s="10" t="str">
        <f>IFERROR(VLOOKUP(A178, Sheet1!$O$1:$V$156, 7, FALSE), "")
</f>
        <v> </v>
      </c>
    </row>
    <row r="179" ht="12.75" customHeight="1">
      <c r="A179" s="7">
        <v>44369.0</v>
      </c>
      <c r="B179" s="8" t="s">
        <v>464</v>
      </c>
      <c r="C179" s="8" t="s">
        <v>463</v>
      </c>
      <c r="D179" s="9" t="s">
        <v>18</v>
      </c>
      <c r="E179" s="7">
        <v>8.0</v>
      </c>
      <c r="F179" s="8" t="s">
        <v>56</v>
      </c>
      <c r="G179" s="9" t="s">
        <v>86</v>
      </c>
      <c r="H179" s="9" t="s">
        <v>35</v>
      </c>
      <c r="I179" s="9" t="s">
        <v>25</v>
      </c>
      <c r="J179" s="10" t="str">
        <f>IFERROR(VLOOKUP(A179, Sheet1!$O$1:$V$156, 6, FALSE), "")</f>
        <v>Y</v>
      </c>
      <c r="K179" s="10" t="str">
        <f>IFERROR(VLOOKUP(A179, Sheet1!$O$1:$V$156, 7, FALSE), "")
</f>
        <v> </v>
      </c>
    </row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1.0" top="1.0"/>
  <pageSetup orientation="landscape"/>
  <rowBreaks count="4" manualBreakCount="4">
    <brk id="148" man="1"/>
    <brk id="37" man="1"/>
    <brk id="74" man="1"/>
    <brk id="111" man="1"/>
  </rowBreaks>
  <drawing r:id="rId1"/>
  <tableParts count="1">
    <tablePart r:id="rId3"/>
  </tableParts>
</worksheet>
</file>